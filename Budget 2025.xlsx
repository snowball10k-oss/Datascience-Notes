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Feb" sheetId="2" r:id="rId6"/>
    <sheet state="visible" name="March" sheetId="3" r:id="rId7"/>
    <sheet state="visible" name="April" sheetId="4" r:id="rId8"/>
    <sheet state="visible" name="May" sheetId="5" r:id="rId9"/>
    <sheet state="visible" name="June" sheetId="6" r:id="rId10"/>
    <sheet state="visible" name="July" sheetId="7" r:id="rId11"/>
    <sheet state="visible" name="Aug" sheetId="8" r:id="rId12"/>
    <sheet state="visible" name="Sep" sheetId="9" r:id="rId13"/>
    <sheet state="visible" name="Oct" sheetId="10" r:id="rId14"/>
    <sheet state="visible" name="Nov" sheetId="11" r:id="rId15"/>
    <sheet state="visible" name="Dec" sheetId="12" r:id="rId16"/>
    <sheet state="visible" name="notes" sheetId="13" r:id="rId17"/>
    <sheet state="visible" name="Chart (Weekly)" sheetId="14" r:id="rId18"/>
    <sheet state="visible" name="Sheet18" sheetId="15" r:id="rId19"/>
    <sheet state="visible" name="Custom Formula" sheetId="16" r:id="rId20"/>
  </sheets>
  <definedNames/>
  <calcPr/>
</workbook>
</file>

<file path=xl/sharedStrings.xml><?xml version="1.0" encoding="utf-8"?>
<sst xmlns="http://schemas.openxmlformats.org/spreadsheetml/2006/main" count="626" uniqueCount="192">
  <si>
    <t>Month</t>
  </si>
  <si>
    <t>Earning</t>
  </si>
  <si>
    <t>Total Spend</t>
  </si>
  <si>
    <t>Net Profit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</si>
  <si>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</si>
  <si>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</si>
  <si>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</si>
  <si>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</si>
  <si>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</si>
  <si>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</si>
  <si>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</si>
  <si>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</si>
  <si>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</si>
  <si>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</si>
  <si>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</si>
  <si>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</si>
  <si>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Insuran</t>
  </si>
  <si>
    <t>Minyak</t>
  </si>
  <si>
    <t>Makan</t>
  </si>
  <si>
    <t>Oil Filter</t>
  </si>
  <si>
    <t>TnG</t>
  </si>
  <si>
    <t>Maintenance</t>
  </si>
  <si>
    <t>Grocery</t>
  </si>
  <si>
    <t>Online Shop</t>
  </si>
  <si>
    <t>Hair Cut</t>
  </si>
  <si>
    <t>Subscription</t>
  </si>
  <si>
    <t>Charity</t>
  </si>
  <si>
    <t>Phone Bil</t>
  </si>
  <si>
    <t>Laundry</t>
  </si>
  <si>
    <t>Rent</t>
  </si>
  <si>
    <t>Days:</t>
  </si>
  <si>
    <t>Day (200)</t>
  </si>
  <si>
    <t>Bil E&amp;W</t>
  </si>
  <si>
    <t>Total Job</t>
  </si>
  <si>
    <t>Parent</t>
  </si>
  <si>
    <t>Program 200 Days</t>
  </si>
  <si>
    <t>Other</t>
  </si>
  <si>
    <t>1st 100 day</t>
  </si>
  <si>
    <t>Day 100 Job</t>
  </si>
  <si>
    <t>2nd 100 day</t>
  </si>
  <si>
    <t>Job</t>
  </si>
  <si>
    <t>Total 200 Day</t>
  </si>
  <si>
    <t>Day 200 Job</t>
  </si>
  <si>
    <t>After 2325 job maintain 5 ⭐ , finally got 1 ⭐ rating from pessenger and it's became 4.96 ⭐ which is day 100 working, maybe because from his lost item (cap) 🧢 but the cap not found in any place inside car, job is from pavi hotel to masjid negara.</t>
  </si>
  <si>
    <t>After 22 Day</t>
  </si>
  <si>
    <t>Day 222 Job</t>
  </si>
  <si>
    <t>Deposit</t>
  </si>
  <si>
    <t>Total 222 Day</t>
  </si>
  <si>
    <t>Job Daily Avg.</t>
  </si>
  <si>
    <t>Myvi Repair</t>
  </si>
  <si>
    <t>If no Repair</t>
  </si>
  <si>
    <t>3 April - 19 October 2025 : 200 Days</t>
  </si>
  <si>
    <t>3 April - 10 November 2025 : 222 Days</t>
  </si>
  <si>
    <t>Date</t>
  </si>
  <si>
    <t>Remarks</t>
  </si>
  <si>
    <t>Weekly Earning</t>
  </si>
  <si>
    <t>Weekly Spend</t>
  </si>
  <si>
    <t>Net Daily</t>
  </si>
  <si>
    <t>Net Weekly</t>
  </si>
  <si>
    <t>ubat demam, maxis</t>
  </si>
  <si>
    <t>Parking Expressionz</t>
  </si>
  <si>
    <t>11 x 20W LED + 4 x LED Footer</t>
  </si>
  <si>
    <t>Total :</t>
  </si>
  <si>
    <t xml:space="preserve">Notes: </t>
  </si>
  <si>
    <t>edraw software</t>
  </si>
  <si>
    <t>Net, Printer Lan Wire</t>
  </si>
  <si>
    <t>Hair Cliper</t>
  </si>
  <si>
    <t>movavi</t>
  </si>
  <si>
    <t>zakat</t>
  </si>
  <si>
    <t>Microwave</t>
  </si>
  <si>
    <t>0+</t>
  </si>
  <si>
    <t>10+</t>
  </si>
  <si>
    <t>20+</t>
  </si>
  <si>
    <t>30+</t>
  </si>
  <si>
    <t>40+</t>
  </si>
  <si>
    <t>50+</t>
  </si>
  <si>
    <t>60+</t>
  </si>
  <si>
    <t>70 above</t>
  </si>
  <si>
    <t>Cummulative</t>
  </si>
  <si>
    <t xml:space="preserve">Maggie </t>
  </si>
  <si>
    <t>&gt;500</t>
  </si>
  <si>
    <t>400-499.99</t>
  </si>
  <si>
    <t>300-399.99</t>
  </si>
  <si>
    <t>200-299.99</t>
  </si>
  <si>
    <t>100-199.99</t>
  </si>
  <si>
    <t>0-99.99</t>
  </si>
  <si>
    <t>nasi lemak burung hantu</t>
  </si>
  <si>
    <t>maxis</t>
  </si>
  <si>
    <t>bloodbrother</t>
  </si>
  <si>
    <t>Beras 10kg</t>
  </si>
  <si>
    <t>duit ayah</t>
  </si>
  <si>
    <t>cempedak</t>
  </si>
  <si>
    <t>cuci kereta</t>
  </si>
  <si>
    <t>petron</t>
  </si>
  <si>
    <t>earphone</t>
  </si>
  <si>
    <t>Saman parking KW</t>
  </si>
  <si>
    <t>Service(298211,13990) , brakepad(depan)</t>
  </si>
  <si>
    <t>watson</t>
  </si>
  <si>
    <t>aircond rosak</t>
  </si>
  <si>
    <t>repair aircond (tukar motor denso) + aircond filter</t>
  </si>
  <si>
    <t>rotiboy,sabun,satay,n.dagang</t>
  </si>
  <si>
    <t>spotify</t>
  </si>
  <si>
    <t>kebab b.bintang</t>
  </si>
  <si>
    <t>bateriku</t>
  </si>
  <si>
    <t>grab system updated</t>
  </si>
  <si>
    <t>AB 1st warning</t>
  </si>
  <si>
    <t>Ahmad's Cyberjaya</t>
  </si>
  <si>
    <t>omarpalace</t>
  </si>
  <si>
    <t>hammer, towing</t>
  </si>
  <si>
    <t>canvas</t>
  </si>
  <si>
    <t>racun anai²</t>
  </si>
  <si>
    <t>brake pad (belakang), spark plug</t>
  </si>
  <si>
    <t>Infinix hot 60 5g+</t>
  </si>
  <si>
    <t>Business Structure</t>
  </si>
  <si>
    <t>repair myvi</t>
  </si>
  <si>
    <t>visit myvi</t>
  </si>
  <si>
    <t>1 star</t>
  </si>
  <si>
    <t>ambil kereta myvi</t>
  </si>
  <si>
    <t>Hankook 2 tayar front left/rear right/caving</t>
  </si>
  <si>
    <t>Myvi no minyak subsidi RM50/19.231L (RM2.6/L)</t>
  </si>
  <si>
    <t>decathlon</t>
  </si>
  <si>
    <t>sim card digi</t>
  </si>
  <si>
    <t>Day 200</t>
  </si>
  <si>
    <t>ASEAN Coin</t>
  </si>
  <si>
    <t>Day 222</t>
  </si>
  <si>
    <t>tt,buku</t>
  </si>
  <si>
    <t>mil kmbg perap</t>
  </si>
  <si>
    <t>SI,kmbg sampai</t>
  </si>
  <si>
    <t>2.2inc/walking pad</t>
  </si>
  <si>
    <t>kasutpolo/ikan kolam</t>
  </si>
  <si>
    <t>ugreen cas/kipas20“</t>
  </si>
  <si>
    <t>ig</t>
  </si>
  <si>
    <t>wire printer</t>
  </si>
  <si>
    <t>coffee powder</t>
  </si>
  <si>
    <t>fb/screen x300 pro/ubat telinga/hafiz</t>
  </si>
  <si>
    <t>tonsil remover</t>
  </si>
  <si>
    <t>S99,Farmasi,Eco-Shp,Spotify,Capcut</t>
  </si>
  <si>
    <t>Adidas, Tiktok Mouth</t>
  </si>
  <si>
    <t>Car Wash (rush), satay</t>
  </si>
  <si>
    <t>Texas Chicken</t>
  </si>
  <si>
    <t>Makanan Ikan</t>
  </si>
  <si>
    <t>Car Wash, Puspakom</t>
  </si>
  <si>
    <t>Puspakom Ulangan, Lampu Brake</t>
  </si>
  <si>
    <t>Soya, OatMilk</t>
  </si>
  <si>
    <t>econsave/s99/digi</t>
  </si>
  <si>
    <t xml:space="preserve">Stokin dr.cardin, </t>
  </si>
  <si>
    <t>DIY</t>
  </si>
  <si>
    <t>RnR</t>
  </si>
  <si>
    <t>17.2.2025</t>
  </si>
  <si>
    <t>18.2.2025</t>
  </si>
  <si>
    <t>19.2.2025</t>
  </si>
  <si>
    <t>20.2.2025</t>
  </si>
  <si>
    <t>21.2.2025</t>
  </si>
  <si>
    <t>credit</t>
  </si>
  <si>
    <t>wallet</t>
  </si>
  <si>
    <t>millage</t>
  </si>
  <si>
    <t>time in</t>
  </si>
  <si>
    <t>time out</t>
  </si>
  <si>
    <t>net</t>
  </si>
  <si>
    <t>April onward</t>
  </si>
  <si>
    <t xml:space="preserve">Week 1 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</si>
  <si>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</si>
  <si>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</si>
  <si>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</si>
  <si>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</si>
  <si>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</si>
  <si>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</si>
  <si>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</si>
  <si>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</si>
  <si>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</si>
  <si>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</si>
  <si>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</si>
  <si>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</si>
  <si>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</si>
  <si>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</si>
  <si>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</si>
  <si>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</si>
  <si>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</si>
  <si>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</si>
  <si>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</si>
  <si>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</si>
  <si>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</si>
  <si>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</si>
  <si>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</si>
  <si>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Days</t>
  </si>
  <si>
    <t>Sat</t>
  </si>
  <si>
    <t>Sun</t>
  </si>
  <si>
    <t>Mon</t>
  </si>
  <si>
    <t>Tue</t>
  </si>
  <si>
    <t>Wed</t>
  </si>
  <si>
    <t>Thu</t>
  </si>
  <si>
    <t>Fri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</si>
</sst>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d&quot; &quot;mmm&quot; &quot;"/>
    <numFmt numFmtId="166" formatCode="d mmm yyyy"/>
    <numFmt numFmtId="167" formatCode="hh:mm"/>
  </numFmts>
  <fonts count="12">
    <font>
      <sz val="10.0"/>
      <color rgb="FF000000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color theme="1"/>
      <name val="Arial"/>
      <scheme val="minor"/>
    </font>
    <font/>
    <font>
      <b/>
      <sz val="9.0"/>
      <color theme="1"/>
      <name val="Arial"/>
    </font>
    <font>
      <b/>
      <color theme="1"/>
      <name val="Arial"/>
      <scheme val="minor"/>
    </font>
    <font>
      <sz val="9.0"/>
      <color theme="1"/>
      <name val="Lobster"/>
    </font>
    <font>
      <b/>
      <sz val="9.0"/>
      <color theme="1"/>
      <name val="Nunito"/>
    </font>
    <font>
      <sz val="9.0"/>
      <color theme="1"/>
      <name val="Arial"/>
    </font>
    <font>
      <color theme="1"/>
      <name val="Arial"/>
    </font>
    <font>
      <sz val="9.0"/>
      <color theme="1"/>
      <name val="Comic Sans MS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53CB78"/>
        <bgColor rgb="FF53CB78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FF8686"/>
        <bgColor rgb="FFFF8686"/>
      </patternFill>
    </fill>
    <fill>
      <patternFill patternType="solid">
        <fgColor rgb="FFEA4335"/>
        <bgColor rgb="FFEA4335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0" fontId="1" numFmtId="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2" numFmtId="4" xfId="0" applyAlignment="1" applyBorder="1" applyFont="1" applyNumberFormat="1">
      <alignment horizontal="center"/>
    </xf>
    <xf borderId="0" fillId="0" fontId="1" numFmtId="4" xfId="0" applyAlignment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readingOrder="0"/>
    </xf>
    <xf borderId="1" fillId="0" fontId="3" numFmtId="4" xfId="0" applyBorder="1" applyFont="1" applyNumberFormat="1"/>
    <xf borderId="1" fillId="0" fontId="3" numFmtId="0" xfId="0" applyBorder="1" applyFont="1"/>
    <xf borderId="2" fillId="0" fontId="1" numFmtId="0" xfId="0" applyAlignment="1" applyBorder="1" applyFont="1">
      <alignment horizontal="right" readingOrder="0"/>
    </xf>
    <xf borderId="3" fillId="0" fontId="4" numFmtId="0" xfId="0" applyBorder="1" applyFont="1"/>
    <xf borderId="4" fillId="0" fontId="4" numFmtId="0" xfId="0" applyBorder="1" applyFont="1"/>
    <xf borderId="1" fillId="0" fontId="1" numFmtId="4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5" numFmtId="49" xfId="0" applyAlignment="1" applyFont="1" applyNumberFormat="1">
      <alignment horizontal="center" vertical="bottom"/>
    </xf>
    <xf borderId="0" fillId="0" fontId="6" numFmtId="0" xfId="0" applyAlignment="1" applyFont="1">
      <alignment readingOrder="0"/>
    </xf>
    <xf borderId="0" fillId="0" fontId="2" numFmtId="4" xfId="0" applyAlignment="1" applyFont="1" applyNumberFormat="1">
      <alignment horizontal="center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2" fontId="2" numFmtId="4" xfId="0" applyAlignment="1" applyFont="1" applyNumberFormat="1">
      <alignment horizontal="center"/>
    </xf>
    <xf borderId="0" fillId="0" fontId="2" numFmtId="4" xfId="0" applyAlignment="1" applyFont="1" applyNumberFormat="1">
      <alignment horizontal="center" readingOrder="0"/>
    </xf>
    <xf borderId="0" fillId="0" fontId="6" numFmtId="4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1" numFmtId="0" xfId="0" applyAlignment="1" applyFont="1">
      <alignment horizontal="left" readingOrder="0" shrinkToFit="0" wrapText="0"/>
    </xf>
    <xf borderId="0" fillId="3" fontId="1" numFmtId="0" xfId="0" applyAlignment="1" applyFill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5" fillId="0" fontId="1" numFmtId="165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  <xf borderId="5" fillId="3" fontId="1" numFmtId="0" xfId="0" applyAlignment="1" applyBorder="1" applyFont="1">
      <alignment horizontal="center"/>
    </xf>
    <xf borderId="0" fillId="3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6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8" numFmtId="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3" fontId="1" numFmtId="2" xfId="0" applyAlignment="1" applyFont="1" applyNumberFormat="1">
      <alignment horizontal="center" readingOrder="0"/>
    </xf>
    <xf borderId="0" fillId="3" fontId="1" numFmtId="4" xfId="0" applyAlignment="1" applyFont="1" applyNumberFormat="1">
      <alignment horizontal="center" readingOrder="0"/>
    </xf>
    <xf borderId="0" fillId="0" fontId="9" numFmtId="0" xfId="0" applyAlignment="1" applyFont="1">
      <alignment horizontal="center" vertical="bottom"/>
    </xf>
    <xf borderId="6" fillId="0" fontId="9" numFmtId="0" xfId="0" applyAlignment="1" applyBorder="1" applyFont="1">
      <alignment horizontal="center" vertical="bottom"/>
    </xf>
    <xf borderId="0" fillId="3" fontId="9" numFmtId="0" xfId="0" applyAlignment="1" applyFont="1">
      <alignment horizontal="center" vertical="bottom"/>
    </xf>
    <xf borderId="0" fillId="0" fontId="9" numFmtId="165" xfId="0" applyAlignment="1" applyFont="1" applyNumberFormat="1">
      <alignment horizontal="center" readingOrder="0" vertical="bottom"/>
    </xf>
    <xf borderId="5" fillId="0" fontId="9" numFmtId="165" xfId="0" applyAlignment="1" applyBorder="1" applyFont="1" applyNumberFormat="1">
      <alignment horizontal="center" readingOrder="0" vertical="bottom"/>
    </xf>
    <xf borderId="7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readingOrder="0" vertical="bottom"/>
    </xf>
    <xf borderId="5" fillId="3" fontId="9" numFmtId="0" xfId="0" applyAlignment="1" applyBorder="1" applyFont="1">
      <alignment horizontal="center" vertical="bottom"/>
    </xf>
    <xf borderId="0" fillId="0" fontId="9" numFmtId="0" xfId="0" applyAlignment="1" applyFont="1">
      <alignment horizontal="center" readingOrder="0" vertical="bottom"/>
    </xf>
    <xf borderId="0" fillId="3" fontId="9" numFmtId="0" xfId="0" applyAlignment="1" applyFont="1">
      <alignment horizontal="center" readingOrder="0" vertical="bottom"/>
    </xf>
    <xf borderId="5" fillId="3" fontId="9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6" fillId="0" fontId="8" numFmtId="4" xfId="0" applyAlignment="1" applyBorder="1" applyFont="1" applyNumberFormat="1">
      <alignment horizontal="center" vertical="bottom"/>
    </xf>
    <xf borderId="0" fillId="3" fontId="9" numFmtId="2" xfId="0" applyAlignment="1" applyFont="1" applyNumberFormat="1">
      <alignment horizontal="center" vertical="bottom"/>
    </xf>
    <xf borderId="0" fillId="0" fontId="10" numFmtId="4" xfId="0" applyAlignment="1" applyFont="1" applyNumberFormat="1">
      <alignment horizontal="center"/>
    </xf>
    <xf borderId="5" fillId="0" fontId="10" numFmtId="4" xfId="0" applyAlignment="1" applyBorder="1" applyFont="1" applyNumberFormat="1">
      <alignment horizontal="center"/>
    </xf>
    <xf borderId="0" fillId="0" fontId="10" numFmtId="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vertical="bottom"/>
    </xf>
    <xf borderId="0" fillId="0" fontId="5" numFmtId="3" xfId="0" applyAlignment="1" applyFont="1" applyNumberFormat="1">
      <alignment horizontal="center" readingOrder="0" vertical="bottom"/>
    </xf>
    <xf borderId="0" fillId="0" fontId="8" numFmtId="4" xfId="0" applyAlignment="1" applyFont="1" applyNumberFormat="1">
      <alignment horizontal="center" vertical="bottom"/>
    </xf>
    <xf borderId="0" fillId="4" fontId="11" numFmtId="0" xfId="0" applyAlignment="1" applyFill="1" applyFont="1">
      <alignment horizontal="center" readingOrder="0" vertical="bottom"/>
    </xf>
    <xf borderId="0" fillId="5" fontId="11" numFmtId="0" xfId="0" applyAlignment="1" applyFill="1" applyFont="1">
      <alignment horizontal="center" readingOrder="0" vertical="bottom"/>
    </xf>
    <xf borderId="0" fillId="6" fontId="11" numFmtId="0" xfId="0" applyAlignment="1" applyFill="1" applyFont="1">
      <alignment horizontal="center" readingOrder="0" vertical="bottom"/>
    </xf>
    <xf borderId="0" fillId="7" fontId="11" numFmtId="0" xfId="0" applyAlignment="1" applyFill="1" applyFont="1">
      <alignment horizontal="center" readingOrder="0" vertical="bottom"/>
    </xf>
    <xf borderId="0" fillId="8" fontId="11" numFmtId="0" xfId="0" applyAlignment="1" applyFill="1" applyFont="1">
      <alignment horizontal="center" readingOrder="0" vertical="bottom"/>
    </xf>
    <xf borderId="0" fillId="9" fontId="11" numFmtId="0" xfId="0" applyAlignment="1" applyFill="1" applyFont="1">
      <alignment horizontal="center" readingOrder="0" vertical="bottom"/>
    </xf>
    <xf borderId="7" fillId="0" fontId="9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/>
    </xf>
    <xf borderId="8" fillId="0" fontId="9" numFmtId="165" xfId="0" applyAlignment="1" applyBorder="1" applyFont="1" applyNumberFormat="1">
      <alignment horizontal="center" readingOrder="0" vertical="bottom"/>
    </xf>
    <xf borderId="8" fillId="0" fontId="9" numFmtId="0" xfId="0" applyAlignment="1" applyBorder="1" applyFont="1">
      <alignment horizontal="center" readingOrder="0" vertical="bottom"/>
    </xf>
    <xf borderId="8" fillId="0" fontId="9" numFmtId="0" xfId="0" applyAlignment="1" applyBorder="1" applyFont="1">
      <alignment horizontal="center" vertical="bottom"/>
    </xf>
    <xf borderId="8" fillId="3" fontId="9" numFmtId="0" xfId="0" applyAlignment="1" applyBorder="1" applyFont="1">
      <alignment horizontal="center" readingOrder="0" vertical="bottom"/>
    </xf>
    <xf borderId="5" fillId="0" fontId="3" numFmtId="0" xfId="0" applyBorder="1" applyFont="1"/>
    <xf borderId="0" fillId="2" fontId="9" numFmtId="165" xfId="0" applyAlignment="1" applyFont="1" applyNumberFormat="1">
      <alignment horizontal="center" readingOrder="0" vertical="bottom"/>
    </xf>
    <xf borderId="0" fillId="2" fontId="9" numFmtId="0" xfId="0" applyAlignment="1" applyFont="1">
      <alignment horizontal="center" readingOrder="0" vertical="bottom"/>
    </xf>
    <xf borderId="0" fillId="2" fontId="9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3" fontId="5" numFmtId="2" xfId="0" applyAlignment="1" applyFont="1" applyNumberFormat="1">
      <alignment horizontal="center" vertical="bottom"/>
    </xf>
    <xf borderId="5" fillId="0" fontId="10" numFmtId="4" xfId="0" applyAlignment="1" applyBorder="1" applyFont="1" applyNumberFormat="1">
      <alignment horizontal="center" readingOrder="0"/>
    </xf>
    <xf borderId="5" fillId="2" fontId="9" numFmtId="165" xfId="0" applyAlignment="1" applyBorder="1" applyFont="1" applyNumberFormat="1">
      <alignment horizontal="center" readingOrder="0" vertical="bottom"/>
    </xf>
    <xf borderId="5" fillId="2" fontId="9" numFmtId="0" xfId="0" applyAlignment="1" applyBorder="1" applyFont="1">
      <alignment horizontal="center" readingOrder="0" vertical="bottom"/>
    </xf>
    <xf borderId="5" fillId="2" fontId="9" numFmtId="0" xfId="0" applyAlignment="1" applyBorder="1" applyFont="1">
      <alignment horizontal="center" vertical="bottom"/>
    </xf>
    <xf borderId="0" fillId="0" fontId="9" numFmtId="0" xfId="0" applyAlignment="1" applyFont="1">
      <alignment horizontal="center" readingOrder="0"/>
    </xf>
    <xf borderId="0" fillId="0" fontId="3" numFmtId="167" xfId="0" applyAlignment="1" applyFont="1" applyNumberFormat="1">
      <alignment horizontal="center" readingOrder="0"/>
    </xf>
    <xf borderId="0" fillId="0" fontId="3" numFmtId="167" xfId="0" applyAlignment="1" applyFont="1" applyNumberFormat="1">
      <alignment readingOrder="0"/>
    </xf>
    <xf borderId="0" fillId="0" fontId="3" numFmtId="0" xfId="0" applyFont="1"/>
    <xf borderId="0" fillId="0" fontId="3" numFmtId="165" xfId="0" applyAlignment="1" applyFont="1" applyNumberFormat="1">
      <alignment horizontal="center" readingOrder="0"/>
    </xf>
    <xf borderId="0" fillId="0" fontId="3" numFmtId="4" xfId="0" applyFont="1" applyNumberFormat="1"/>
  </cellXfs>
  <cellStyles count="1">
    <cellStyle xfId="0" name="Normal" builtinId="0"/>
  </cellStyles>
  <dxfs count="18">
    <dxf>
      <font>
        <color rgb="FF57BB8A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8686"/>
          <bgColor rgb="FFFF8686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53CB78"/>
          <bgColor rgb="FF53CB7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>
        <color rgb="FFEA4335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Earning and Total Spend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notes!$B$17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notes!$A$18:$A$45</c:f>
            </c:strRef>
          </c:cat>
          <c:val>
            <c:numRef>
              <c:f>notes!$B$18:$B$45</c:f>
              <c:numCache/>
            </c:numRef>
          </c:val>
        </c:ser>
        <c:ser>
          <c:idx val="1"/>
          <c:order val="1"/>
          <c:tx>
            <c:strRef>
              <c:f>notes!$C$17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notes!$A$18:$A$45</c:f>
            </c:strRef>
          </c:cat>
          <c:val>
            <c:numRef>
              <c:f>notes!$C$18:$C$45</c:f>
              <c:numCache/>
            </c:numRef>
          </c:val>
        </c:ser>
        <c:overlap val="100"/>
        <c:axId val="344602801"/>
        <c:axId val="1598337522"/>
      </c:barChart>
      <c:catAx>
        <c:axId val="3446028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337522"/>
      </c:catAx>
      <c:valAx>
        <c:axId val="15983375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46028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vs April onward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'Chart (Weekly)'!$A$2:$A$10</c:f>
            </c:strRef>
          </c:cat>
          <c:val>
            <c:numRef>
              <c:f>'Chart (Weekly)'!$B$2:$B$10</c:f>
              <c:numCache/>
            </c:numRef>
          </c:val>
          <c:smooth val="0"/>
        </c:ser>
        <c:axId val="933953019"/>
        <c:axId val="1635931901"/>
      </c:lineChart>
      <c:catAx>
        <c:axId val="933953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April onward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5931901"/>
      </c:catAx>
      <c:valAx>
        <c:axId val="1635931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39530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419100</xdr:colOff>
      <xdr:row>14</xdr:row>
      <xdr:rowOff>123825</xdr:rowOff>
    </xdr:from>
    <xdr:ext cx="5715000" cy="6257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3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0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2"/>
    </row>
    <row r="2" ht="14.25" customHeight="1">
      <c r="A2" s="1" t="s">
        <v>4</v>
      </c>
      <c r="B2" s="4">
        <f>Feb!B33</f>
        <v>5001.5</v>
      </c>
      <c r="C2" s="5">
        <f>Feb!W33</f>
        <v>3261.78</v>
      </c>
      <c r="D2" s="6">
        <f t="shared" ref="D2:D12" si="1">B2-C2</f>
        <v>1739.72</v>
      </c>
      <c r="E2" s="3"/>
      <c r="F2" s="3"/>
      <c r="G2" s="3" t="s">
        <v>16</v>
      </c>
      <c r="H2" s="3">
        <f>Feb!C33</f>
        <v>128</v>
      </c>
      <c r="I2" s="3">
        <f>March!C34</f>
        <v>0</v>
      </c>
      <c r="J2" s="3">
        <f>April!C34</f>
        <v>196</v>
      </c>
      <c r="K2" s="3">
        <f>May!C34</f>
        <v>217</v>
      </c>
      <c r="L2" s="3">
        <f>June!C34</f>
        <v>210</v>
      </c>
      <c r="M2" s="3">
        <f>July!C34</f>
        <v>210</v>
      </c>
      <c r="N2" s="3">
        <f>Aug!C34</f>
        <v>217</v>
      </c>
      <c r="O2" s="3">
        <f>Sep!C34</f>
        <v>210</v>
      </c>
      <c r="P2" s="3">
        <f>Oct!C34</f>
        <v>210</v>
      </c>
      <c r="Q2" s="3">
        <f>Nov!C34</f>
        <v>70</v>
      </c>
      <c r="R2" s="3">
        <f>Dec!C34</f>
        <v>0</v>
      </c>
      <c r="S2" s="7">
        <f t="shared" ref="S2:S18" si="2">SUM(H2:R2)</f>
        <v>1668</v>
      </c>
      <c r="T2" s="3"/>
    </row>
    <row r="3" ht="14.25" customHeight="1">
      <c r="A3" s="1" t="s">
        <v>5</v>
      </c>
      <c r="B3" s="5">
        <f>March!B34</f>
        <v>0</v>
      </c>
      <c r="C3" s="5">
        <f>March!W34</f>
        <v>1873.06</v>
      </c>
      <c r="D3" s="8">
        <f t="shared" si="1"/>
        <v>-1873.06</v>
      </c>
      <c r="E3" s="3"/>
      <c r="F3" s="3"/>
      <c r="G3" s="3" t="s">
        <v>17</v>
      </c>
      <c r="H3" s="3">
        <f>Feb!D33</f>
        <v>1188</v>
      </c>
      <c r="I3" s="3">
        <f>March!D34</f>
        <v>60</v>
      </c>
      <c r="J3" s="3">
        <f>April!D35</f>
        <v>1993</v>
      </c>
      <c r="K3" s="3">
        <f>May!D35</f>
        <v>2160</v>
      </c>
      <c r="L3" s="3">
        <f>June!D35</f>
        <v>1974</v>
      </c>
      <c r="M3" s="3">
        <f>July!D35</f>
        <v>2118</v>
      </c>
      <c r="N3" s="3">
        <f>Aug!D35</f>
        <v>1959</v>
      </c>
      <c r="O3" s="3">
        <f>Sep!D35</f>
        <v>1698</v>
      </c>
      <c r="P3" s="3">
        <f>Oct!D35</f>
        <v>2380</v>
      </c>
      <c r="Q3" s="3">
        <f>Nov!D35</f>
        <v>600</v>
      </c>
      <c r="R3" s="3">
        <f>Dec!D35</f>
        <v>0</v>
      </c>
      <c r="S3" s="7">
        <f t="shared" si="2"/>
        <v>16130</v>
      </c>
      <c r="T3" s="3"/>
    </row>
    <row r="4" ht="14.25" customHeight="1">
      <c r="A4" s="1" t="s">
        <v>6</v>
      </c>
      <c r="B4" s="5">
        <f>April!B34</f>
        <v>9272.02</v>
      </c>
      <c r="C4" s="5">
        <f>April!AG34</f>
        <v>3280.65</v>
      </c>
      <c r="D4" s="8">
        <f t="shared" si="1"/>
        <v>5991.37</v>
      </c>
      <c r="E4" s="3"/>
      <c r="F4" s="3"/>
      <c r="G4" s="3" t="s">
        <v>18</v>
      </c>
      <c r="H4" s="3">
        <f>Feb!F34</f>
        <v>438.05</v>
      </c>
      <c r="I4" s="3">
        <f>March!E34</f>
        <v>0</v>
      </c>
      <c r="J4" s="3">
        <f>April!F35</f>
        <v>487.2</v>
      </c>
      <c r="K4" s="3">
        <f>May!F35</f>
        <v>728.9</v>
      </c>
      <c r="L4" s="3">
        <f>June!F35</f>
        <v>691.05</v>
      </c>
      <c r="M4" s="3">
        <f>July!F35</f>
        <v>665.92</v>
      </c>
      <c r="N4" s="3">
        <f>Aug!F35</f>
        <v>658.35</v>
      </c>
      <c r="O4" s="3">
        <f>Sep!F35</f>
        <v>826.2</v>
      </c>
      <c r="P4" s="3">
        <f>Oct!F35</f>
        <v>799.85</v>
      </c>
      <c r="Q4" s="3">
        <f>Nov!F35</f>
        <v>486.45</v>
      </c>
      <c r="R4" s="3">
        <f>Dec!F35</f>
        <v>165.55</v>
      </c>
      <c r="S4" s="7">
        <f t="shared" si="2"/>
        <v>5947.52</v>
      </c>
      <c r="T4" s="3"/>
    </row>
    <row r="5" ht="14.25" customHeight="1">
      <c r="A5" s="1" t="s">
        <v>7</v>
      </c>
      <c r="B5" s="5">
        <f>May!B34</f>
        <v>9514.47</v>
      </c>
      <c r="C5" s="5">
        <f>May!X34</f>
        <v>4293.84</v>
      </c>
      <c r="D5" s="8">
        <f t="shared" si="1"/>
        <v>5220.63</v>
      </c>
      <c r="E5" s="3"/>
      <c r="F5" s="3"/>
      <c r="G5" s="3" t="s">
        <v>19</v>
      </c>
      <c r="H5" s="3">
        <f>Feb!H33</f>
        <v>440</v>
      </c>
      <c r="I5" s="3">
        <f>March!H34</f>
        <v>0</v>
      </c>
      <c r="J5" s="3">
        <f>April!H34</f>
        <v>0</v>
      </c>
      <c r="K5" s="3">
        <f>May!H34</f>
        <v>220</v>
      </c>
      <c r="L5" s="3">
        <f>June!H34</f>
        <v>220</v>
      </c>
      <c r="M5" s="3">
        <f>July!H34</f>
        <v>0</v>
      </c>
      <c r="N5" s="3">
        <f>Aug!H34</f>
        <v>220</v>
      </c>
      <c r="O5" s="3">
        <f>Sep!H34</f>
        <v>0</v>
      </c>
      <c r="P5" s="3">
        <f>Oct!H34</f>
        <v>440</v>
      </c>
      <c r="Q5" s="3">
        <f>Nov!H34</f>
        <v>220</v>
      </c>
      <c r="R5" s="3">
        <f>Dec!H34</f>
        <v>0</v>
      </c>
      <c r="S5" s="7">
        <f t="shared" si="2"/>
        <v>1760</v>
      </c>
      <c r="T5" s="3"/>
    </row>
    <row r="6" ht="14.25" customHeight="1">
      <c r="A6" s="1" t="s">
        <v>8</v>
      </c>
      <c r="B6" s="5">
        <f>June!B34</f>
        <v>10166.5</v>
      </c>
      <c r="C6" s="5">
        <f>June!X34</f>
        <v>4915.75</v>
      </c>
      <c r="D6" s="8">
        <f t="shared" si="1"/>
        <v>5250.75</v>
      </c>
      <c r="E6" s="3"/>
      <c r="F6" s="3"/>
      <c r="G6" s="3" t="s">
        <v>20</v>
      </c>
      <c r="H6" s="3">
        <f>Feb!I33</f>
        <v>124.08</v>
      </c>
      <c r="I6" s="3">
        <f>March!I34</f>
        <v>0</v>
      </c>
      <c r="J6" s="3">
        <f>April!I34</f>
        <v>84.58</v>
      </c>
      <c r="K6" s="3">
        <f>May!I34</f>
        <v>147.42</v>
      </c>
      <c r="L6" s="3">
        <f>June!I34</f>
        <v>109.97</v>
      </c>
      <c r="M6" s="3">
        <f>July!I34</f>
        <v>156.63</v>
      </c>
      <c r="N6" s="3">
        <f>Aug!I34</f>
        <v>99.48</v>
      </c>
      <c r="O6" s="3">
        <f>Sep!I34</f>
        <v>135.25</v>
      </c>
      <c r="P6" s="3">
        <f>Oct!I34</f>
        <v>139.65</v>
      </c>
      <c r="Q6" s="3">
        <f>Nov!I34</f>
        <v>102.24</v>
      </c>
      <c r="R6" s="3">
        <f>Dec!I34</f>
        <v>18.6</v>
      </c>
      <c r="S6" s="7">
        <f t="shared" si="2"/>
        <v>1117.9</v>
      </c>
      <c r="T6" s="3"/>
    </row>
    <row r="7" ht="14.25" customHeight="1">
      <c r="A7" s="1" t="s">
        <v>9</v>
      </c>
      <c r="B7" s="5">
        <f>July!B34</f>
        <v>9855.28</v>
      </c>
      <c r="C7" s="5">
        <f>July!X34</f>
        <v>4279.15</v>
      </c>
      <c r="D7" s="8">
        <f t="shared" si="1"/>
        <v>5576.13</v>
      </c>
      <c r="E7" s="3"/>
      <c r="F7" s="3"/>
      <c r="G7" s="3" t="s">
        <v>21</v>
      </c>
      <c r="H7" s="3">
        <f>Feb!J33</f>
        <v>0</v>
      </c>
      <c r="I7" s="3">
        <f>March!J34</f>
        <v>0</v>
      </c>
      <c r="J7" s="3">
        <f>April!J34</f>
        <v>0</v>
      </c>
      <c r="K7" s="3">
        <f>May!J34</f>
        <v>0</v>
      </c>
      <c r="L7" s="3">
        <f>June!J34</f>
        <v>760</v>
      </c>
      <c r="M7" s="3">
        <f>July!J34</f>
        <v>175</v>
      </c>
      <c r="N7" s="3">
        <f>Aug!J34</f>
        <v>310</v>
      </c>
      <c r="O7" s="3">
        <f>Sep!J34</f>
        <v>0</v>
      </c>
      <c r="P7" s="3">
        <f>Oct!J34</f>
        <v>416</v>
      </c>
      <c r="Q7" s="3">
        <f>Nov!J34</f>
        <v>0</v>
      </c>
      <c r="R7" s="3">
        <f>Dec!J34</f>
        <v>34</v>
      </c>
      <c r="S7" s="7">
        <f t="shared" si="2"/>
        <v>1695</v>
      </c>
      <c r="T7" s="3"/>
    </row>
    <row r="8" ht="14.25" customHeight="1">
      <c r="A8" s="1" t="s">
        <v>10</v>
      </c>
      <c r="B8" s="5">
        <f>Aug!B34</f>
        <v>9901.51</v>
      </c>
      <c r="C8" s="5">
        <f>Aug!X34</f>
        <v>4896.28</v>
      </c>
      <c r="D8" s="8">
        <f t="shared" si="1"/>
        <v>5005.23</v>
      </c>
      <c r="E8" s="3"/>
      <c r="F8" s="3"/>
      <c r="G8" s="3" t="s">
        <v>22</v>
      </c>
      <c r="H8" s="3">
        <f>Feb!K33</f>
        <v>146.7</v>
      </c>
      <c r="I8" s="3">
        <f>March!K34</f>
        <v>155.15</v>
      </c>
      <c r="J8" s="3">
        <f>April!K34</f>
        <v>86.4</v>
      </c>
      <c r="K8" s="3">
        <f>May!K34</f>
        <v>138.05</v>
      </c>
      <c r="L8" s="3">
        <f>June!K34</f>
        <v>233.2</v>
      </c>
      <c r="M8" s="3">
        <f>July!K34</f>
        <v>119.7</v>
      </c>
      <c r="N8" s="3">
        <f>Aug!K34</f>
        <v>100.65</v>
      </c>
      <c r="O8" s="3">
        <f>Sep!K34</f>
        <v>165.33</v>
      </c>
      <c r="P8" s="3">
        <f>Oct!K34</f>
        <v>419.59</v>
      </c>
      <c r="Q8" s="3">
        <f>Nov!K34</f>
        <v>366.33</v>
      </c>
      <c r="R8" s="3">
        <f>Dec!K34</f>
        <v>304.95</v>
      </c>
      <c r="S8" s="7">
        <f t="shared" si="2"/>
        <v>2236.05</v>
      </c>
      <c r="T8" s="3"/>
    </row>
    <row r="9" ht="14.25" customHeight="1">
      <c r="A9" s="1" t="s">
        <v>11</v>
      </c>
      <c r="B9" s="5">
        <f>Sep!B34</f>
        <v>9215.91</v>
      </c>
      <c r="C9" s="5">
        <f>Sep!X34</f>
        <v>8886.69</v>
      </c>
      <c r="D9" s="8">
        <f t="shared" si="1"/>
        <v>329.22</v>
      </c>
      <c r="E9" s="3"/>
      <c r="F9" s="3"/>
      <c r="G9" s="3" t="s">
        <v>23</v>
      </c>
      <c r="H9" s="3">
        <f>Feb!L33</f>
        <v>70.19</v>
      </c>
      <c r="I9" s="3">
        <f>March!L34</f>
        <v>546.29</v>
      </c>
      <c r="J9" s="3">
        <f>April!L34</f>
        <v>5.7</v>
      </c>
      <c r="K9" s="3">
        <f>May!L34</f>
        <v>0</v>
      </c>
      <c r="L9" s="3">
        <f>June!L34</f>
        <v>21.53</v>
      </c>
      <c r="M9" s="3">
        <f>July!L34</f>
        <v>0</v>
      </c>
      <c r="N9" s="3">
        <f>Aug!L34</f>
        <v>0</v>
      </c>
      <c r="O9" s="3">
        <f>Sep!L34</f>
        <v>0</v>
      </c>
      <c r="P9" s="3">
        <f>Oct!L34</f>
        <v>0</v>
      </c>
      <c r="Q9" s="3">
        <f>Nov!L34</f>
        <v>985.2</v>
      </c>
      <c r="R9" s="3">
        <f>Dec!L34</f>
        <v>212.26</v>
      </c>
      <c r="S9" s="7">
        <f t="shared" si="2"/>
        <v>1841.17</v>
      </c>
      <c r="T9" s="3"/>
    </row>
    <row r="10" ht="14.25" customHeight="1">
      <c r="A10" s="1" t="s">
        <v>12</v>
      </c>
      <c r="B10" s="5">
        <f>Oct!B34</f>
        <v>10703.39</v>
      </c>
      <c r="C10" s="5">
        <f>Oct!X34</f>
        <v>5543.47</v>
      </c>
      <c r="D10" s="8">
        <f t="shared" si="1"/>
        <v>5159.92</v>
      </c>
      <c r="E10" s="3"/>
      <c r="F10" s="3"/>
      <c r="G10" s="3" t="s">
        <v>24</v>
      </c>
      <c r="H10" s="3">
        <f>Feb!M33</f>
        <v>0</v>
      </c>
      <c r="I10" s="3">
        <f>March!M34</f>
        <v>0</v>
      </c>
      <c r="J10" s="3">
        <f>April!M34</f>
        <v>0</v>
      </c>
      <c r="K10" s="3">
        <f>May!M34</f>
        <v>0</v>
      </c>
      <c r="L10" s="3">
        <f>June!M34</f>
        <v>0</v>
      </c>
      <c r="M10" s="3">
        <f>July!M34</f>
        <v>0</v>
      </c>
      <c r="N10" s="3">
        <f>Aug!M34</f>
        <v>0</v>
      </c>
      <c r="O10" s="3">
        <f>Sep!M34</f>
        <v>0</v>
      </c>
      <c r="P10" s="3">
        <f>Oct!M34</f>
        <v>0</v>
      </c>
      <c r="Q10" s="3">
        <f>Nov!M34</f>
        <v>0</v>
      </c>
      <c r="R10" s="3">
        <f>Dec!M34</f>
        <v>0</v>
      </c>
      <c r="S10" s="7">
        <f t="shared" si="2"/>
        <v>0</v>
      </c>
      <c r="T10" s="3"/>
    </row>
    <row r="11" ht="14.25" customHeight="1">
      <c r="A11" s="1" t="s">
        <v>13</v>
      </c>
      <c r="B11" s="5">
        <f>Nov!B34</f>
        <v>3458.6</v>
      </c>
      <c r="C11" s="5">
        <f>Nov!X34</f>
        <v>3654.42</v>
      </c>
      <c r="D11" s="8">
        <f t="shared" si="1"/>
        <v>-195.82</v>
      </c>
      <c r="E11" s="3"/>
      <c r="F11" s="3"/>
      <c r="G11" s="3" t="s">
        <v>25</v>
      </c>
      <c r="H11" s="3">
        <f>Feb!N33</f>
        <v>52.2</v>
      </c>
      <c r="I11" s="3">
        <f>March!N34</f>
        <v>751.62</v>
      </c>
      <c r="J11" s="3">
        <f>April!N34</f>
        <v>25.9</v>
      </c>
      <c r="K11" s="3">
        <f>May!N34</f>
        <v>30</v>
      </c>
      <c r="L11" s="3">
        <f>June!N34</f>
        <v>35</v>
      </c>
      <c r="M11" s="3">
        <f>July!N34</f>
        <v>15.9</v>
      </c>
      <c r="N11" s="3">
        <f>Aug!N34</f>
        <v>15.9</v>
      </c>
      <c r="O11" s="3">
        <f>Sep!N34</f>
        <v>0</v>
      </c>
      <c r="P11" s="3">
        <f>Oct!N34</f>
        <v>0</v>
      </c>
      <c r="Q11" s="3">
        <f>Nov!N34</f>
        <v>0</v>
      </c>
      <c r="R11" s="3">
        <f>Dec!N34</f>
        <v>21.4</v>
      </c>
      <c r="S11" s="7">
        <f t="shared" si="2"/>
        <v>947.92</v>
      </c>
      <c r="T11" s="3"/>
    </row>
    <row r="12" ht="14.25" customHeight="1">
      <c r="A12" s="1" t="s">
        <v>14</v>
      </c>
      <c r="B12" s="5">
        <f>Dec!B34</f>
        <v>0</v>
      </c>
      <c r="C12" s="5">
        <f>Dec!X34</f>
        <v>1325.27</v>
      </c>
      <c r="D12" s="8">
        <f t="shared" si="1"/>
        <v>-1325.27</v>
      </c>
      <c r="E12" s="3"/>
      <c r="F12" s="3"/>
      <c r="G12" s="3" t="s">
        <v>26</v>
      </c>
      <c r="H12" s="3">
        <f>Feb!O33</f>
        <v>20</v>
      </c>
      <c r="I12" s="3">
        <f>March!O34</f>
        <v>10</v>
      </c>
      <c r="J12" s="3">
        <f>April!O34</f>
        <v>2.7</v>
      </c>
      <c r="K12" s="3">
        <f>May!O34</f>
        <v>18.9</v>
      </c>
      <c r="L12" s="3">
        <f>June!O34</f>
        <v>11.2</v>
      </c>
      <c r="M12" s="3">
        <f>July!O34</f>
        <v>203</v>
      </c>
      <c r="N12" s="3">
        <f>Aug!O34</f>
        <v>16</v>
      </c>
      <c r="O12" s="3">
        <f>Sep!O34</f>
        <v>10</v>
      </c>
      <c r="P12" s="3">
        <f>Oct!O34</f>
        <v>39</v>
      </c>
      <c r="Q12" s="3">
        <f>Nov!O34</f>
        <v>7</v>
      </c>
      <c r="R12" s="3">
        <f>Dec!O34</f>
        <v>0</v>
      </c>
      <c r="S12" s="7">
        <f t="shared" si="2"/>
        <v>337.8</v>
      </c>
      <c r="T12" s="3"/>
    </row>
    <row r="13" ht="14.25" customHeight="1">
      <c r="A13" s="9" t="s">
        <v>15</v>
      </c>
      <c r="B13" s="10">
        <f t="shared" ref="B13:C13" si="3">SUM(B2:B12)</f>
        <v>77089.18</v>
      </c>
      <c r="C13" s="10">
        <f t="shared" si="3"/>
        <v>46210.36</v>
      </c>
      <c r="D13" s="11"/>
      <c r="E13" s="3"/>
      <c r="F13" s="3"/>
      <c r="G13" s="3" t="s">
        <v>27</v>
      </c>
      <c r="H13" s="3">
        <f>Feb!P33</f>
        <v>70</v>
      </c>
      <c r="I13" s="3">
        <f>March!P34</f>
        <v>0</v>
      </c>
      <c r="J13" s="3">
        <f>April!P34</f>
        <v>25</v>
      </c>
      <c r="K13" s="3">
        <f>May!P34</f>
        <v>5</v>
      </c>
      <c r="L13" s="3">
        <f>June!P34</f>
        <v>0</v>
      </c>
      <c r="M13" s="3">
        <f>July!P34</f>
        <v>36</v>
      </c>
      <c r="N13" s="3">
        <f>Aug!P34</f>
        <v>50</v>
      </c>
      <c r="O13" s="3">
        <f>Sep!P34</f>
        <v>50</v>
      </c>
      <c r="P13" s="3">
        <f>Oct!P34</f>
        <v>90</v>
      </c>
      <c r="Q13" s="3">
        <f>Nov!P34</f>
        <v>10</v>
      </c>
      <c r="R13" s="3">
        <f>Dec!P34</f>
        <v>40</v>
      </c>
      <c r="S13" s="7">
        <f t="shared" si="2"/>
        <v>376</v>
      </c>
      <c r="T13" s="3"/>
    </row>
    <row r="14" ht="14.25" customHeight="1">
      <c r="A14" s="12" t="s">
        <v>15</v>
      </c>
      <c r="B14" s="13"/>
      <c r="C14" s="14"/>
      <c r="D14" s="15">
        <f>SUM(D2:D12)</f>
        <v>30878.82</v>
      </c>
      <c r="E14" s="3"/>
      <c r="F14" s="3"/>
      <c r="G14" s="3" t="s">
        <v>28</v>
      </c>
      <c r="H14" s="3">
        <f>Feb!Q33</f>
        <v>11</v>
      </c>
      <c r="I14" s="3">
        <f>March!Q34</f>
        <v>0</v>
      </c>
      <c r="J14" s="3">
        <f>April!Q34</f>
        <v>11</v>
      </c>
      <c r="K14" s="3">
        <f>May!Q34</f>
        <v>27</v>
      </c>
      <c r="L14" s="3">
        <f>June!Q34</f>
        <v>12</v>
      </c>
      <c r="M14" s="3">
        <f>July!Q34</f>
        <v>11</v>
      </c>
      <c r="N14" s="3">
        <f>Aug!Q34</f>
        <v>12</v>
      </c>
      <c r="O14" s="3">
        <f>Sep!Q34</f>
        <v>12</v>
      </c>
      <c r="P14" s="3">
        <f>Oct!Q34</f>
        <v>0</v>
      </c>
      <c r="Q14" s="3">
        <f>Nov!Q34</f>
        <v>0</v>
      </c>
      <c r="R14" s="3">
        <f>Dec!Q34</f>
        <v>0</v>
      </c>
      <c r="S14" s="7">
        <f t="shared" si="2"/>
        <v>96</v>
      </c>
      <c r="T14" s="3"/>
    </row>
    <row r="15">
      <c r="A15" s="3"/>
      <c r="B15" s="2"/>
      <c r="C15" s="2"/>
      <c r="D15" s="2"/>
      <c r="E15" s="2"/>
      <c r="F15" s="2"/>
      <c r="G15" s="3" t="s">
        <v>29</v>
      </c>
      <c r="H15" s="2">
        <f>Feb!R33</f>
        <v>350</v>
      </c>
      <c r="I15" s="2">
        <f>March!R34</f>
        <v>350</v>
      </c>
      <c r="J15" s="2">
        <f>April!R34</f>
        <v>350</v>
      </c>
      <c r="K15" s="2">
        <f>May!R34</f>
        <v>350</v>
      </c>
      <c r="L15" s="2">
        <f>June!R34</f>
        <v>350</v>
      </c>
      <c r="M15" s="2">
        <f>July!R34</f>
        <v>350</v>
      </c>
      <c r="N15" s="2">
        <f>Aug!R34</f>
        <v>350</v>
      </c>
      <c r="O15" s="2">
        <f>Sep!R34</f>
        <v>350</v>
      </c>
      <c r="P15" s="2">
        <f>Oct!R34</f>
        <v>350</v>
      </c>
      <c r="Q15" s="2">
        <f>Nov!R34</f>
        <v>350</v>
      </c>
      <c r="R15" s="2">
        <f>Dec!R34</f>
        <v>350</v>
      </c>
      <c r="S15" s="7">
        <f t="shared" si="2"/>
        <v>3850</v>
      </c>
      <c r="T15" s="2"/>
    </row>
    <row r="16">
      <c r="A16" s="3" t="s">
        <v>30</v>
      </c>
      <c r="B16" s="16">
        <f>counta(April!B2:B31,May!B2:B32,June!B2:B31,July!B2:B32,Aug!B2:B32,Sep!B2:B31,Oct!B2:B32,Nov!B2:B31,Dec!B2:B31)</f>
        <v>222</v>
      </c>
      <c r="D16" s="3" t="s">
        <v>31</v>
      </c>
      <c r="E16" s="17">
        <f>counta(April!B2:B31,May!B2:B32,June!B2:B31,July!B2:B32,Aug!B2:B32,Sep!B2:B31,Oct!B2:B32,Nov!B2:B31,Dec!B2:B31)-200</f>
        <v>22</v>
      </c>
      <c r="F16" s="2"/>
      <c r="G16" s="3" t="s">
        <v>32</v>
      </c>
      <c r="H16" s="2">
        <f>Feb!S33</f>
        <v>8.56</v>
      </c>
      <c r="I16" s="2">
        <f>March!S34</f>
        <v>0</v>
      </c>
      <c r="J16" s="2">
        <f>April!S34</f>
        <v>13.17</v>
      </c>
      <c r="K16" s="2">
        <f>May!S34</f>
        <v>12.57</v>
      </c>
      <c r="L16" s="2">
        <f>June!S34</f>
        <v>0</v>
      </c>
      <c r="M16" s="2">
        <f>July!S34</f>
        <v>13</v>
      </c>
      <c r="N16" s="2">
        <f>Aug!S34</f>
        <v>12.24</v>
      </c>
      <c r="O16" s="2">
        <f>Sep!S34</f>
        <v>11.51</v>
      </c>
      <c r="P16" s="2">
        <f>Oct!S34</f>
        <v>9.38</v>
      </c>
      <c r="Q16" s="2">
        <f>Nov!S34</f>
        <v>10</v>
      </c>
      <c r="R16" s="2">
        <f>Dec!S34</f>
        <v>38.35</v>
      </c>
      <c r="S16" s="7">
        <f t="shared" si="2"/>
        <v>128.78</v>
      </c>
      <c r="T16" s="2"/>
    </row>
    <row r="17">
      <c r="A17" s="3" t="s">
        <v>33</v>
      </c>
      <c r="B17" s="18">
        <f>sum(J20:R20)</f>
        <v>5146</v>
      </c>
      <c r="D17" s="2"/>
      <c r="E17" s="2"/>
      <c r="F17" s="2"/>
      <c r="G17" s="3" t="s">
        <v>34</v>
      </c>
      <c r="H17" s="2">
        <f>Feb!T33</f>
        <v>200</v>
      </c>
      <c r="I17" s="2">
        <f>March!T34</f>
        <v>0</v>
      </c>
      <c r="J17" s="2">
        <f>April!T34</f>
        <v>0</v>
      </c>
      <c r="K17" s="2">
        <f>May!T34</f>
        <v>200</v>
      </c>
      <c r="L17" s="2">
        <f>June!T34</f>
        <v>200</v>
      </c>
      <c r="M17" s="2">
        <f>July!T34</f>
        <v>200</v>
      </c>
      <c r="N17" s="2">
        <f>Aug!T34</f>
        <v>200</v>
      </c>
      <c r="O17" s="2">
        <f>Sep!T34</f>
        <v>200</v>
      </c>
      <c r="P17" s="2">
        <f>Oct!T34</f>
        <v>200</v>
      </c>
      <c r="Q17" s="2">
        <f>Nov!T34</f>
        <v>200</v>
      </c>
      <c r="R17" s="2">
        <f>Dec!T34</f>
        <v>0</v>
      </c>
      <c r="S17" s="7">
        <f t="shared" si="2"/>
        <v>1600</v>
      </c>
      <c r="T17" s="2"/>
    </row>
    <row r="18">
      <c r="A18" s="19" t="s">
        <v>35</v>
      </c>
      <c r="C18" s="2"/>
      <c r="D18" s="2"/>
      <c r="E18" s="2"/>
      <c r="F18" s="2"/>
      <c r="G18" s="3" t="s">
        <v>36</v>
      </c>
      <c r="H18" s="2">
        <f>Feb!U33</f>
        <v>15</v>
      </c>
      <c r="I18" s="2">
        <f>March!U34</f>
        <v>0</v>
      </c>
      <c r="J18" s="2">
        <f>April!U34</f>
        <v>0</v>
      </c>
      <c r="K18" s="2">
        <f>June!U34</f>
        <v>62.8</v>
      </c>
      <c r="L18" s="2">
        <f>June!U34</f>
        <v>62.8</v>
      </c>
      <c r="M18" s="2">
        <f>July!U34</f>
        <v>5</v>
      </c>
      <c r="N18" s="2">
        <f>Aug!U34</f>
        <v>675.66</v>
      </c>
      <c r="O18" s="2">
        <f>Sep!U34</f>
        <v>5218.4</v>
      </c>
      <c r="P18" s="2">
        <f>Oct!U34</f>
        <v>50</v>
      </c>
      <c r="Q18" s="2">
        <f>Nov!U34</f>
        <v>247.2</v>
      </c>
      <c r="R18" s="2">
        <f>Dec!U34</f>
        <v>140.16</v>
      </c>
      <c r="S18" s="7">
        <f t="shared" si="2"/>
        <v>6477.02</v>
      </c>
      <c r="T18" s="2"/>
    </row>
    <row r="19">
      <c r="A19" s="3" t="s">
        <v>37</v>
      </c>
      <c r="B19" s="20">
        <f>sum(April!AJ4:AJ31,May!AA2:AA32,June!AA2:AA31,July!AA2:AA12)</f>
        <v>17452.49</v>
      </c>
      <c r="C19" s="3" t="s">
        <v>38</v>
      </c>
      <c r="D19" s="17">
        <f>sum(April!V2:V31,May!V2:V32,June!V2:V31,July!V2:V12)</f>
        <v>2353</v>
      </c>
      <c r="F19" s="2"/>
      <c r="G19" s="21" t="s">
        <v>15</v>
      </c>
      <c r="H19" s="22">
        <f t="shared" ref="H19:S19" si="4">SUM(H2:H18)</f>
        <v>3261.78</v>
      </c>
      <c r="I19" s="22">
        <f t="shared" si="4"/>
        <v>1873.06</v>
      </c>
      <c r="J19" s="22">
        <f t="shared" si="4"/>
        <v>3280.65</v>
      </c>
      <c r="K19" s="22">
        <f t="shared" si="4"/>
        <v>4317.64</v>
      </c>
      <c r="L19" s="22">
        <f t="shared" si="4"/>
        <v>4890.75</v>
      </c>
      <c r="M19" s="22">
        <f t="shared" si="4"/>
        <v>4279.15</v>
      </c>
      <c r="N19" s="22">
        <f t="shared" si="4"/>
        <v>4896.28</v>
      </c>
      <c r="O19" s="22">
        <f t="shared" si="4"/>
        <v>8886.69</v>
      </c>
      <c r="P19" s="22">
        <f t="shared" si="4"/>
        <v>5543.47</v>
      </c>
      <c r="Q19" s="22">
        <f t="shared" si="4"/>
        <v>3654.42</v>
      </c>
      <c r="R19" s="22">
        <f t="shared" si="4"/>
        <v>1325.27</v>
      </c>
      <c r="S19" s="23">
        <f t="shared" si="4"/>
        <v>46209.16</v>
      </c>
      <c r="T19" s="2"/>
    </row>
    <row r="20">
      <c r="A20" s="3" t="s">
        <v>39</v>
      </c>
      <c r="B20" s="20">
        <f>sum(July!AA13:AA32,Aug!AA2:AA32,Sep!AA2:AA31,Oct!AA2:AA20)</f>
        <v>12089.97</v>
      </c>
      <c r="C20" s="3" t="s">
        <v>38</v>
      </c>
      <c r="D20" s="17">
        <f>sum(July!V13:V32,Aug!V2:V32,Sep!V2:V31,Oct!V2:V20)</f>
        <v>2268</v>
      </c>
      <c r="E20" s="2"/>
      <c r="F20" s="2"/>
      <c r="G20" s="3" t="s">
        <v>40</v>
      </c>
      <c r="H20" s="2"/>
      <c r="I20" s="2"/>
      <c r="J20" s="2">
        <f>sum(April!V2:V31)</f>
        <v>683</v>
      </c>
      <c r="K20" s="2">
        <f>sum(May!V2:V32)</f>
        <v>764</v>
      </c>
      <c r="L20" s="2">
        <f>sum(June!V2:V31)</f>
        <v>680</v>
      </c>
      <c r="M20" s="2">
        <f>sum(July!V2:V32)</f>
        <v>717</v>
      </c>
      <c r="N20" s="2">
        <f>sum(Aug!V2:V32)</f>
        <v>708</v>
      </c>
      <c r="O20" s="2">
        <f>sum(Sep!V2:V31)</f>
        <v>629</v>
      </c>
      <c r="P20" s="2">
        <f>sum(Oct!V2:V32)</f>
        <v>735</v>
      </c>
      <c r="Q20" s="2">
        <f>sum(Nov!V2:V31)</f>
        <v>230</v>
      </c>
      <c r="R20" s="2">
        <f>sum(Dec!V2:V31)</f>
        <v>0</v>
      </c>
      <c r="T20" s="2"/>
    </row>
    <row r="21">
      <c r="A21" s="3" t="s">
        <v>41</v>
      </c>
      <c r="B21" s="20">
        <f>SUM(B19:B20)</f>
        <v>29542.46</v>
      </c>
      <c r="C21" s="3" t="s">
        <v>42</v>
      </c>
      <c r="D21" s="17">
        <f>SUM(D19:D20)</f>
        <v>4621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idden="1">
      <c r="A22" s="3" t="s">
        <v>43</v>
      </c>
      <c r="B22" s="24"/>
      <c r="C22" s="2"/>
      <c r="D22" s="17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3" t="s">
        <v>44</v>
      </c>
      <c r="B23" s="25">
        <f>sum(Oct!AA21:AA32,Nov!AA2:AA11)</f>
        <v>5003.34</v>
      </c>
      <c r="C23" s="3" t="s">
        <v>45</v>
      </c>
      <c r="D23" s="17">
        <f>sum(April!V4:V31,May!V2:V32,June!V2:V31,July!V2:V32,Aug!V2:V32,Sep!V2:V31,Oct!V2:V32,Nov!V2:V11)</f>
        <v>5146</v>
      </c>
      <c r="E23" s="2"/>
      <c r="F23" s="2"/>
      <c r="G23" s="3" t="s">
        <v>46</v>
      </c>
      <c r="H23" s="26">
        <f>sum(Feb!AB2:AB29,April!AM2:AM31,May!AD2:AD32,June!AD2:AD31,July!AD2:AD32,Aug!AD2:AD32,Sep!AD2:AD31,Oct!AD2:AD32,Nov!AD2:AD31,Dec!AD2:AD31)</f>
        <v>37030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3" t="s">
        <v>47</v>
      </c>
      <c r="B24" s="25">
        <f>sum(B21:B23)</f>
        <v>34545.8</v>
      </c>
      <c r="C24" s="3" t="s">
        <v>48</v>
      </c>
      <c r="D24" s="27">
        <f>D23/222</f>
        <v>23.18018018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3" t="s">
        <v>49</v>
      </c>
      <c r="B25" s="2">
        <f>3000+1865</f>
        <v>4865</v>
      </c>
      <c r="C25" s="2"/>
      <c r="D25" s="2"/>
      <c r="E25" s="2"/>
      <c r="F25" s="2"/>
      <c r="G25" s="2"/>
      <c r="H25" s="2"/>
      <c r="I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3" t="s">
        <v>50</v>
      </c>
      <c r="B26" s="26">
        <f>sum(B24:B25)</f>
        <v>39410.8</v>
      </c>
      <c r="C26" s="2"/>
      <c r="D26" s="2"/>
      <c r="E26" s="2"/>
      <c r="F26" s="2"/>
      <c r="G26" s="2"/>
      <c r="H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8" t="s">
        <v>51</v>
      </c>
      <c r="B27" s="2"/>
      <c r="C27" s="2"/>
      <c r="D27" s="28" t="s">
        <v>52</v>
      </c>
      <c r="E27" s="2"/>
      <c r="F27" s="2"/>
      <c r="G27" s="2"/>
      <c r="H27" s="2" t="str">
        <f>CONCATENATE("Total job for 222 days is"," ",D23," ","Jobs")</f>
        <v>Total job for 222 days is 5146 Jobs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</sheetData>
  <mergeCells count="1">
    <mergeCell ref="A14:C14"/>
  </mergeCells>
  <conditionalFormatting sqref="D2:D12 D14">
    <cfRule type="cellIs" dxfId="0" priority="1" operator="greaterThan">
      <formula>0</formula>
    </cfRule>
  </conditionalFormatting>
  <conditionalFormatting sqref="D2:D12 D14">
    <cfRule type="cellIs" dxfId="1" priority="2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63"/>
    <col customWidth="1" min="2" max="2" width="6.75"/>
    <col customWidth="1" min="3" max="3" width="6.0"/>
    <col customWidth="1" min="4" max="5" width="6.5"/>
    <col customWidth="1" min="6" max="7" width="6.63"/>
    <col customWidth="1" min="8" max="9" width="7.25"/>
    <col customWidth="1" min="10" max="10" width="10.5"/>
    <col customWidth="1" min="11" max="11" width="6.88"/>
    <col customWidth="1" min="12" max="12" width="10.13"/>
    <col customWidth="1" min="13" max="13" width="6.5"/>
    <col customWidth="1" min="14" max="15" width="9.25"/>
    <col customWidth="1" min="16" max="18" width="7.38"/>
    <col customWidth="1" min="19" max="21" width="6.38"/>
    <col customWidth="1" min="22" max="22" width="27.0"/>
    <col customWidth="1" min="23" max="23" width="9.0"/>
    <col customWidth="1" min="24" max="24" width="11.5"/>
    <col customWidth="1" min="25" max="26" width="10.63"/>
    <col customWidth="1" min="27" max="28" width="9.5"/>
  </cols>
  <sheetData>
    <row r="1" ht="14.25" customHeight="1">
      <c r="A1" s="3" t="s">
        <v>53</v>
      </c>
      <c r="B1" s="3" t="s">
        <v>1</v>
      </c>
      <c r="C1" s="3" t="s">
        <v>16</v>
      </c>
      <c r="D1" s="3" t="s">
        <v>17</v>
      </c>
      <c r="F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32</v>
      </c>
      <c r="T1" s="3" t="s">
        <v>34</v>
      </c>
      <c r="U1" s="3" t="s">
        <v>36</v>
      </c>
      <c r="V1" s="29" t="s">
        <v>54</v>
      </c>
      <c r="W1" s="3" t="s">
        <v>2</v>
      </c>
      <c r="X1" s="3" t="s">
        <v>55</v>
      </c>
      <c r="Y1" s="3" t="s">
        <v>56</v>
      </c>
      <c r="Z1" s="3" t="s">
        <v>57</v>
      </c>
      <c r="AA1" s="3" t="s">
        <v>58</v>
      </c>
      <c r="AB1" s="7" t="s">
        <v>46</v>
      </c>
    </row>
    <row r="2" ht="14.25" customHeight="1">
      <c r="A2" s="30">
        <v>45689.0</v>
      </c>
      <c r="B2" s="3"/>
      <c r="C2" s="3"/>
      <c r="D2" s="3"/>
      <c r="E2" s="2"/>
      <c r="F2" s="3">
        <v>15.5</v>
      </c>
      <c r="G2" s="3"/>
      <c r="H2" s="3"/>
      <c r="I2" s="2"/>
      <c r="J2" s="3"/>
      <c r="K2" s="3">
        <v>7.0</v>
      </c>
      <c r="L2" s="2"/>
      <c r="M2" s="2"/>
      <c r="N2" s="2"/>
      <c r="O2" s="2"/>
      <c r="P2" s="3">
        <v>30.0</v>
      </c>
      <c r="Q2" s="3"/>
      <c r="R2" s="3">
        <v>350.0</v>
      </c>
      <c r="S2" s="2"/>
      <c r="T2" s="2"/>
      <c r="U2" s="2"/>
      <c r="V2" s="29" t="s">
        <v>59</v>
      </c>
      <c r="W2" s="2">
        <f>SUM(C2:V2)</f>
        <v>402.5</v>
      </c>
      <c r="X2" s="2"/>
      <c r="Y2" s="2"/>
      <c r="Z2" s="2">
        <f t="shared" ref="Z2:Z32" si="1">B2-W2</f>
        <v>-402.5</v>
      </c>
      <c r="AA2" s="2"/>
      <c r="AB2" s="26"/>
    </row>
    <row r="3" ht="14.25" customHeight="1">
      <c r="A3" s="31">
        <v>45690.0</v>
      </c>
      <c r="B3" s="32">
        <v>316.8</v>
      </c>
      <c r="C3" s="32">
        <v>5.0</v>
      </c>
      <c r="D3" s="32">
        <v>60.0</v>
      </c>
      <c r="E3" s="33"/>
      <c r="F3" s="32">
        <v>14.5</v>
      </c>
      <c r="G3" s="33"/>
      <c r="H3" s="33"/>
      <c r="I3" s="33"/>
      <c r="J3" s="32"/>
      <c r="K3" s="32">
        <v>3.3</v>
      </c>
      <c r="L3" s="33"/>
      <c r="M3" s="33"/>
      <c r="N3" s="33"/>
      <c r="O3" s="32">
        <v>12.0</v>
      </c>
      <c r="P3" s="33"/>
      <c r="Q3" s="33"/>
      <c r="R3" s="33"/>
      <c r="S3" s="33"/>
      <c r="T3" s="33"/>
      <c r="U3" s="33"/>
      <c r="V3" s="34"/>
      <c r="W3" s="33">
        <f t="shared" ref="W3:W25" si="2">SUM(C3:T3)</f>
        <v>94.8</v>
      </c>
      <c r="X3" s="33">
        <f>B2+B3</f>
        <v>316.8</v>
      </c>
      <c r="Y3" s="33">
        <f>sum(C2:T3)</f>
        <v>497.3</v>
      </c>
      <c r="Z3" s="33">
        <f t="shared" si="1"/>
        <v>222</v>
      </c>
      <c r="AA3" s="33">
        <f>X3-Y3</f>
        <v>-180.5</v>
      </c>
      <c r="AB3" s="26"/>
    </row>
    <row r="4" ht="14.25" customHeight="1">
      <c r="A4" s="30">
        <v>45691.0</v>
      </c>
      <c r="B4" s="3">
        <v>417.8</v>
      </c>
      <c r="C4" s="3">
        <v>5.0</v>
      </c>
      <c r="D4" s="3">
        <v>60.0</v>
      </c>
      <c r="E4" s="2"/>
      <c r="F4" s="3">
        <v>12.0</v>
      </c>
      <c r="G4" s="2"/>
      <c r="H4" s="2"/>
      <c r="I4" s="2"/>
      <c r="J4" s="2"/>
      <c r="K4" s="3">
        <v>6.2</v>
      </c>
      <c r="L4" s="2"/>
      <c r="M4" s="2"/>
      <c r="N4" s="2"/>
      <c r="O4" s="2"/>
      <c r="P4" s="2"/>
      <c r="Q4" s="2"/>
      <c r="R4" s="3"/>
      <c r="S4" s="2"/>
      <c r="T4" s="2"/>
      <c r="U4" s="2"/>
      <c r="V4" s="35"/>
      <c r="W4" s="2">
        <f t="shared" si="2"/>
        <v>83.2</v>
      </c>
      <c r="X4" s="2"/>
      <c r="Y4" s="2"/>
      <c r="Z4" s="2">
        <f t="shared" si="1"/>
        <v>334.6</v>
      </c>
      <c r="AA4" s="2"/>
      <c r="AB4" s="26"/>
    </row>
    <row r="5" ht="14.25" customHeight="1">
      <c r="A5" s="30">
        <v>45692.0</v>
      </c>
      <c r="B5" s="3">
        <v>90.4</v>
      </c>
      <c r="C5" s="3">
        <v>5.0</v>
      </c>
      <c r="D5" s="3"/>
      <c r="E5" s="3"/>
      <c r="F5" s="3">
        <v>13.0</v>
      </c>
      <c r="G5" s="3">
        <v>10.8</v>
      </c>
      <c r="H5" s="2"/>
      <c r="I5" s="2"/>
      <c r="J5" s="2"/>
      <c r="K5" s="3">
        <v>26.7</v>
      </c>
      <c r="L5" s="2"/>
      <c r="M5" s="2"/>
      <c r="N5" s="2"/>
      <c r="O5" s="2"/>
      <c r="P5" s="3">
        <v>10.0</v>
      </c>
      <c r="Q5" s="3"/>
      <c r="R5" s="2"/>
      <c r="S5" s="2"/>
      <c r="T5" s="2"/>
      <c r="U5" s="2"/>
      <c r="V5" s="35"/>
      <c r="W5" s="2">
        <f t="shared" si="2"/>
        <v>65.5</v>
      </c>
      <c r="X5" s="2"/>
      <c r="Y5" s="2"/>
      <c r="Z5" s="2">
        <f t="shared" si="1"/>
        <v>24.9</v>
      </c>
      <c r="AA5" s="2"/>
      <c r="AB5" s="26"/>
    </row>
    <row r="6" ht="14.25" customHeight="1">
      <c r="A6" s="30">
        <v>45693.0</v>
      </c>
      <c r="B6" s="3">
        <v>124.6</v>
      </c>
      <c r="C6" s="3">
        <v>5.0</v>
      </c>
      <c r="D6" s="3">
        <v>60.0</v>
      </c>
      <c r="E6" s="2"/>
      <c r="F6" s="3">
        <v>9.0</v>
      </c>
      <c r="G6" s="2"/>
      <c r="H6" s="2"/>
      <c r="I6" s="3">
        <f>3.2+4.51</f>
        <v>7.71</v>
      </c>
      <c r="J6" s="2"/>
      <c r="K6" s="3">
        <v>1.0</v>
      </c>
      <c r="L6" s="2"/>
      <c r="M6" s="2"/>
      <c r="N6" s="2"/>
      <c r="O6" s="3">
        <v>1.0</v>
      </c>
      <c r="P6" s="2"/>
      <c r="Q6" s="2"/>
      <c r="R6" s="2"/>
      <c r="S6" s="2"/>
      <c r="T6" s="2"/>
      <c r="U6" s="2"/>
      <c r="V6" s="35"/>
      <c r="W6" s="2">
        <f t="shared" si="2"/>
        <v>83.71</v>
      </c>
      <c r="X6" s="2"/>
      <c r="Y6" s="2"/>
      <c r="Z6" s="2">
        <f t="shared" si="1"/>
        <v>40.89</v>
      </c>
      <c r="AA6" s="2"/>
      <c r="AB6" s="26"/>
    </row>
    <row r="7" ht="14.25" customHeight="1">
      <c r="A7" s="30">
        <v>45694.0</v>
      </c>
      <c r="B7" s="3">
        <v>180.4</v>
      </c>
      <c r="C7" s="3">
        <v>5.0</v>
      </c>
      <c r="D7" s="3">
        <v>68.0</v>
      </c>
      <c r="E7" s="2"/>
      <c r="F7" s="3">
        <v>17.0</v>
      </c>
      <c r="G7" s="3">
        <v>22.35</v>
      </c>
      <c r="H7" s="2"/>
      <c r="I7" s="3">
        <v>0.98</v>
      </c>
      <c r="J7" s="2"/>
      <c r="K7" s="2">
        <f>1+1.5</f>
        <v>2.5</v>
      </c>
      <c r="L7" s="2"/>
      <c r="M7" s="2"/>
      <c r="N7" s="2"/>
      <c r="O7" s="2"/>
      <c r="P7" s="2"/>
      <c r="Q7" s="2"/>
      <c r="R7" s="2"/>
      <c r="S7" s="2"/>
      <c r="T7" s="2"/>
      <c r="U7" s="2"/>
      <c r="V7" s="35"/>
      <c r="W7" s="2">
        <f t="shared" si="2"/>
        <v>115.83</v>
      </c>
      <c r="X7" s="2"/>
      <c r="Y7" s="2"/>
      <c r="Z7" s="2">
        <f t="shared" si="1"/>
        <v>64.57</v>
      </c>
      <c r="AA7" s="2"/>
      <c r="AB7" s="26"/>
    </row>
    <row r="8" ht="14.25" customHeight="1">
      <c r="A8" s="30">
        <v>45695.0</v>
      </c>
      <c r="B8" s="2"/>
      <c r="C8" s="2"/>
      <c r="D8" s="2"/>
      <c r="E8" s="3"/>
      <c r="F8" s="3">
        <v>33.9</v>
      </c>
      <c r="G8" s="2"/>
      <c r="H8" s="2"/>
      <c r="I8" s="3">
        <v>26.98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5"/>
      <c r="W8" s="2">
        <f t="shared" si="2"/>
        <v>60.88</v>
      </c>
      <c r="X8" s="2"/>
      <c r="Y8" s="2"/>
      <c r="Z8" s="2">
        <f t="shared" si="1"/>
        <v>-60.88</v>
      </c>
      <c r="AA8" s="2"/>
      <c r="AB8" s="26"/>
    </row>
    <row r="9" ht="14.25" customHeight="1">
      <c r="A9" s="30">
        <v>45696.0</v>
      </c>
      <c r="B9" s="3">
        <v>12.8</v>
      </c>
      <c r="C9" s="2"/>
      <c r="D9" s="2"/>
      <c r="E9" s="2"/>
      <c r="F9" s="3"/>
      <c r="G9" s="2"/>
      <c r="H9" s="2"/>
      <c r="I9" s="2"/>
      <c r="J9" s="2"/>
      <c r="K9" s="2">
        <f>9.3+13.2</f>
        <v>22.5</v>
      </c>
      <c r="L9" s="2"/>
      <c r="M9" s="2"/>
      <c r="N9" s="2"/>
      <c r="O9" s="2"/>
      <c r="P9" s="2"/>
      <c r="Q9" s="2"/>
      <c r="R9" s="2"/>
      <c r="S9" s="2"/>
      <c r="T9" s="2"/>
      <c r="U9" s="2"/>
      <c r="V9" s="35"/>
      <c r="W9" s="2">
        <f t="shared" si="2"/>
        <v>22.5</v>
      </c>
      <c r="X9" s="2"/>
      <c r="Y9" s="2"/>
      <c r="Z9" s="2">
        <f t="shared" si="1"/>
        <v>-9.7</v>
      </c>
      <c r="AA9" s="2"/>
      <c r="AB9" s="26"/>
    </row>
    <row r="10" ht="14.25" customHeight="1">
      <c r="A10" s="31">
        <v>45697.0</v>
      </c>
      <c r="B10" s="33"/>
      <c r="C10" s="32">
        <v>5.0</v>
      </c>
      <c r="D10" s="32">
        <v>50.0</v>
      </c>
      <c r="E10" s="33"/>
      <c r="F10" s="32">
        <v>17.0</v>
      </c>
      <c r="G10" s="32">
        <f>6+6</f>
        <v>12</v>
      </c>
      <c r="H10" s="33"/>
      <c r="I10" s="32">
        <v>24.6</v>
      </c>
      <c r="J10" s="33"/>
      <c r="K10" s="32">
        <f>5+6.3</f>
        <v>11.3</v>
      </c>
      <c r="L10" s="33"/>
      <c r="M10" s="33"/>
      <c r="N10" s="33"/>
      <c r="O10" s="32">
        <v>1.0</v>
      </c>
      <c r="P10" s="33"/>
      <c r="Q10" s="32">
        <v>11.0</v>
      </c>
      <c r="R10" s="33"/>
      <c r="S10" s="33"/>
      <c r="T10" s="33"/>
      <c r="U10" s="33"/>
      <c r="V10" s="34"/>
      <c r="W10" s="33">
        <f t="shared" si="2"/>
        <v>131.9</v>
      </c>
      <c r="X10" s="33">
        <f>sum(B4:B10)</f>
        <v>826</v>
      </c>
      <c r="Y10" s="33">
        <f>sum(C4:T10)</f>
        <v>563.52</v>
      </c>
      <c r="Z10" s="33">
        <f t="shared" si="1"/>
        <v>-131.9</v>
      </c>
      <c r="AA10" s="33">
        <f>X10-Y10</f>
        <v>262.48</v>
      </c>
      <c r="AB10" s="26"/>
    </row>
    <row r="11" ht="14.25" customHeight="1">
      <c r="A11" s="30">
        <v>45698.0</v>
      </c>
      <c r="B11" s="3">
        <v>550.7</v>
      </c>
      <c r="C11" s="3">
        <v>7.0</v>
      </c>
      <c r="D11" s="3">
        <v>60.0</v>
      </c>
      <c r="E11" s="2"/>
      <c r="F11" s="3">
        <v>13.7</v>
      </c>
      <c r="G11" s="2"/>
      <c r="H11" s="2"/>
      <c r="I11" s="3">
        <v>2.0</v>
      </c>
      <c r="J11" s="2"/>
      <c r="K11" s="3">
        <v>5.5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35"/>
      <c r="W11" s="2">
        <f t="shared" si="2"/>
        <v>88.2</v>
      </c>
      <c r="X11" s="2"/>
      <c r="Y11" s="2"/>
      <c r="Z11" s="2">
        <f t="shared" si="1"/>
        <v>462.5</v>
      </c>
      <c r="AA11" s="2"/>
      <c r="AB11" s="26"/>
    </row>
    <row r="12" ht="14.25" customHeight="1">
      <c r="A12" s="30">
        <v>45699.0</v>
      </c>
      <c r="B12" s="3">
        <v>162.4</v>
      </c>
      <c r="C12" s="3">
        <v>7.0</v>
      </c>
      <c r="D12" s="3">
        <v>50.0</v>
      </c>
      <c r="E12" s="2"/>
      <c r="F12" s="3">
        <v>13.5</v>
      </c>
      <c r="G12" s="2"/>
      <c r="H12" s="2"/>
      <c r="I12" s="3">
        <v>3.5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35"/>
      <c r="W12" s="2">
        <f t="shared" si="2"/>
        <v>74</v>
      </c>
      <c r="X12" s="2"/>
      <c r="Y12" s="2"/>
      <c r="Z12" s="2">
        <f t="shared" si="1"/>
        <v>88.4</v>
      </c>
      <c r="AA12" s="2"/>
      <c r="AB12" s="26"/>
    </row>
    <row r="13" ht="14.25" customHeight="1">
      <c r="A13" s="30">
        <v>45700.0</v>
      </c>
      <c r="B13" s="3">
        <v>292.4</v>
      </c>
      <c r="C13" s="3">
        <v>7.0</v>
      </c>
      <c r="D13" s="3">
        <v>60.0</v>
      </c>
      <c r="E13" s="2"/>
      <c r="F13" s="3">
        <v>2.0</v>
      </c>
      <c r="G13" s="3">
        <v>9.5</v>
      </c>
      <c r="H13" s="2"/>
      <c r="I13" s="2"/>
      <c r="J13" s="2"/>
      <c r="K13" s="3">
        <v>21.9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35"/>
      <c r="W13" s="2">
        <f t="shared" si="2"/>
        <v>100.4</v>
      </c>
      <c r="X13" s="2"/>
      <c r="Y13" s="2"/>
      <c r="Z13" s="2">
        <f t="shared" si="1"/>
        <v>192</v>
      </c>
      <c r="AA13" s="2"/>
      <c r="AB13" s="7">
        <v>540.0</v>
      </c>
    </row>
    <row r="14" ht="14.25" customHeight="1">
      <c r="A14" s="30">
        <v>45701.0</v>
      </c>
      <c r="B14" s="3">
        <v>392.1</v>
      </c>
      <c r="C14" s="3">
        <v>7.0</v>
      </c>
      <c r="D14" s="3">
        <v>65.0</v>
      </c>
      <c r="E14" s="2"/>
      <c r="F14" s="3">
        <v>10.0</v>
      </c>
      <c r="G14" s="2"/>
      <c r="H14" s="2"/>
      <c r="I14" s="3">
        <v>3.12</v>
      </c>
      <c r="J14" s="3"/>
      <c r="K14" s="3">
        <f>3.2+4.2</f>
        <v>7.4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35"/>
      <c r="W14" s="2">
        <f t="shared" si="2"/>
        <v>92.52</v>
      </c>
      <c r="X14" s="2"/>
      <c r="Y14" s="2"/>
      <c r="Z14" s="2">
        <f t="shared" si="1"/>
        <v>299.58</v>
      </c>
      <c r="AA14" s="2"/>
      <c r="AB14" s="26"/>
    </row>
    <row r="15" ht="14.25" customHeight="1">
      <c r="A15" s="30">
        <v>45702.0</v>
      </c>
      <c r="B15" s="3">
        <v>178.2</v>
      </c>
      <c r="C15" s="3">
        <v>7.0</v>
      </c>
      <c r="D15" s="3">
        <v>60.0</v>
      </c>
      <c r="E15" s="2"/>
      <c r="F15" s="3">
        <v>11.5</v>
      </c>
      <c r="G15" s="3">
        <v>14.0</v>
      </c>
      <c r="H15" s="2"/>
      <c r="I15" s="3">
        <v>4.51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35"/>
      <c r="W15" s="2">
        <f t="shared" si="2"/>
        <v>97.01</v>
      </c>
      <c r="X15" s="2"/>
      <c r="Y15" s="2"/>
      <c r="Z15" s="2">
        <f t="shared" si="1"/>
        <v>81.19</v>
      </c>
      <c r="AA15" s="2"/>
      <c r="AB15" s="26"/>
    </row>
    <row r="16" ht="14.25" customHeight="1">
      <c r="A16" s="30">
        <v>45703.0</v>
      </c>
      <c r="B16" s="3">
        <v>102.5</v>
      </c>
      <c r="C16" s="3">
        <v>7.0</v>
      </c>
      <c r="D16" s="2"/>
      <c r="E16" s="3"/>
      <c r="F16" s="3">
        <v>17.0</v>
      </c>
      <c r="G16" s="3">
        <v>17.5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35"/>
      <c r="W16" s="2">
        <f t="shared" si="2"/>
        <v>41.5</v>
      </c>
      <c r="X16" s="2"/>
      <c r="Y16" s="2"/>
      <c r="Z16" s="2">
        <f t="shared" si="1"/>
        <v>61</v>
      </c>
      <c r="AA16" s="2"/>
      <c r="AB16" s="26"/>
    </row>
    <row r="17" ht="14.25" customHeight="1">
      <c r="A17" s="31">
        <v>45704.0</v>
      </c>
      <c r="B17" s="33"/>
      <c r="C17" s="33"/>
      <c r="D17" s="32">
        <v>55.0</v>
      </c>
      <c r="E17" s="33"/>
      <c r="F17" s="33"/>
      <c r="G17" s="33"/>
      <c r="H17" s="33"/>
      <c r="I17" s="33"/>
      <c r="J17" s="33"/>
      <c r="K17" s="33"/>
      <c r="L17" s="33"/>
      <c r="M17" s="33"/>
      <c r="N17" s="32">
        <v>49.0</v>
      </c>
      <c r="O17" s="33"/>
      <c r="P17" s="33"/>
      <c r="Q17" s="33"/>
      <c r="R17" s="33"/>
      <c r="S17" s="33"/>
      <c r="T17" s="33"/>
      <c r="U17" s="33"/>
      <c r="V17" s="34"/>
      <c r="W17" s="33">
        <f t="shared" si="2"/>
        <v>104</v>
      </c>
      <c r="X17" s="33">
        <f>sum(B11:B17)</f>
        <v>1678.3</v>
      </c>
      <c r="Y17" s="33">
        <f>sum(C11:T17)</f>
        <v>597.63</v>
      </c>
      <c r="Z17" s="33">
        <f t="shared" si="1"/>
        <v>-104</v>
      </c>
      <c r="AA17" s="33">
        <f>X17-Y17</f>
        <v>1080.67</v>
      </c>
      <c r="AB17" s="26"/>
    </row>
    <row r="18" ht="14.25" customHeight="1">
      <c r="A18" s="30">
        <v>45705.0</v>
      </c>
      <c r="B18" s="3">
        <v>423.1</v>
      </c>
      <c r="C18" s="3">
        <v>7.0</v>
      </c>
      <c r="D18" s="3">
        <v>60.0</v>
      </c>
      <c r="E18" s="2"/>
      <c r="F18" s="3">
        <v>11.7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35"/>
      <c r="W18" s="2">
        <f t="shared" si="2"/>
        <v>78.7</v>
      </c>
      <c r="X18" s="2"/>
      <c r="Y18" s="2"/>
      <c r="Z18" s="2">
        <f t="shared" si="1"/>
        <v>344.4</v>
      </c>
      <c r="AA18" s="2"/>
      <c r="AB18" s="26"/>
    </row>
    <row r="19" ht="14.25" customHeight="1">
      <c r="A19" s="30">
        <v>45706.0</v>
      </c>
      <c r="B19" s="3">
        <v>371.2</v>
      </c>
      <c r="C19" s="3">
        <v>7.0</v>
      </c>
      <c r="D19" s="3">
        <v>60.0</v>
      </c>
      <c r="E19" s="2"/>
      <c r="F19" s="3">
        <v>11.5</v>
      </c>
      <c r="G19" s="2"/>
      <c r="H19" s="2"/>
      <c r="I19" s="3">
        <v>4.43</v>
      </c>
      <c r="J19" s="2"/>
      <c r="K19" s="3">
        <v>7.1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35"/>
      <c r="W19" s="2">
        <f t="shared" si="2"/>
        <v>90.03</v>
      </c>
      <c r="X19" s="2"/>
      <c r="Y19" s="2"/>
      <c r="Z19" s="2">
        <f t="shared" si="1"/>
        <v>281.17</v>
      </c>
      <c r="AA19" s="2"/>
      <c r="AB19" s="7">
        <v>600.0</v>
      </c>
    </row>
    <row r="20" ht="14.25" customHeight="1">
      <c r="A20" s="30">
        <v>45707.0</v>
      </c>
      <c r="B20" s="3">
        <v>309.6</v>
      </c>
      <c r="C20" s="3">
        <v>7.0</v>
      </c>
      <c r="D20" s="3">
        <v>60.0</v>
      </c>
      <c r="E20" s="2"/>
      <c r="F20" s="3">
        <v>9.0</v>
      </c>
      <c r="G20" s="2"/>
      <c r="H20" s="2"/>
      <c r="I20" s="2"/>
      <c r="J20" s="2"/>
      <c r="K20" s="3">
        <v>10.0</v>
      </c>
      <c r="L20" s="2"/>
      <c r="M20" s="2"/>
      <c r="N20" s="2"/>
      <c r="O20" s="3">
        <v>1.0</v>
      </c>
      <c r="P20" s="2"/>
      <c r="Q20" s="2"/>
      <c r="R20" s="2"/>
      <c r="S20" s="2"/>
      <c r="T20" s="2"/>
      <c r="U20" s="2"/>
      <c r="V20" s="35"/>
      <c r="W20" s="2">
        <f t="shared" si="2"/>
        <v>87</v>
      </c>
      <c r="X20" s="2"/>
      <c r="Y20" s="2"/>
      <c r="Z20" s="2">
        <f t="shared" si="1"/>
        <v>222.6</v>
      </c>
      <c r="AA20" s="2"/>
      <c r="AB20" s="26"/>
    </row>
    <row r="21" ht="14.25" customHeight="1">
      <c r="A21" s="30">
        <v>45708.0</v>
      </c>
      <c r="B21" s="3">
        <v>110.4</v>
      </c>
      <c r="C21" s="36">
        <v>7.0</v>
      </c>
      <c r="D21" s="3">
        <v>60.0</v>
      </c>
      <c r="E21" s="2"/>
      <c r="F21" s="3">
        <v>14.5</v>
      </c>
      <c r="G21" s="3">
        <v>13.0</v>
      </c>
      <c r="H21" s="2"/>
      <c r="I21" s="3">
        <f>3.5+1.27</f>
        <v>4.77</v>
      </c>
      <c r="J21" s="2"/>
      <c r="K21" s="3">
        <v>7.2</v>
      </c>
      <c r="L21" s="2"/>
      <c r="M21" s="3"/>
      <c r="N21" s="2"/>
      <c r="O21" s="2"/>
      <c r="P21" s="2"/>
      <c r="Q21" s="2"/>
      <c r="R21" s="2"/>
      <c r="S21" s="2"/>
      <c r="T21" s="2"/>
      <c r="U21" s="2"/>
      <c r="V21" s="35"/>
      <c r="W21" s="2">
        <f t="shared" si="2"/>
        <v>106.47</v>
      </c>
      <c r="X21" s="2"/>
      <c r="Y21" s="2"/>
      <c r="Z21" s="2">
        <f t="shared" si="1"/>
        <v>3.93</v>
      </c>
      <c r="AA21" s="2"/>
      <c r="AB21" s="26"/>
    </row>
    <row r="22" ht="14.25" customHeight="1">
      <c r="A22" s="30">
        <v>45709.0</v>
      </c>
      <c r="B22" s="3">
        <v>270.4</v>
      </c>
      <c r="C22" s="3">
        <v>7.0</v>
      </c>
      <c r="D22" s="3">
        <v>60.0</v>
      </c>
      <c r="E22" s="2"/>
      <c r="F22" s="3">
        <v>5.7</v>
      </c>
      <c r="G22" s="3">
        <v>12.0</v>
      </c>
      <c r="H22" s="2"/>
      <c r="I22" s="2"/>
      <c r="J22" s="2"/>
      <c r="K22" s="2"/>
      <c r="L22" s="2"/>
      <c r="M22" s="2"/>
      <c r="N22" s="3">
        <v>3.2</v>
      </c>
      <c r="O22" s="3">
        <v>5.0</v>
      </c>
      <c r="P22" s="2"/>
      <c r="Q22" s="2"/>
      <c r="R22" s="2"/>
      <c r="S22" s="2"/>
      <c r="T22" s="2"/>
      <c r="U22" s="2"/>
      <c r="V22" s="35"/>
      <c r="W22" s="2">
        <f t="shared" si="2"/>
        <v>92.9</v>
      </c>
      <c r="X22" s="2"/>
      <c r="Y22" s="2"/>
      <c r="Z22" s="2">
        <f t="shared" si="1"/>
        <v>177.5</v>
      </c>
      <c r="AA22" s="2"/>
      <c r="AB22" s="26"/>
    </row>
    <row r="23" ht="14.25" customHeight="1">
      <c r="A23" s="30">
        <v>45710.0</v>
      </c>
      <c r="B23" s="3">
        <v>479.4</v>
      </c>
      <c r="C23" s="3">
        <v>7.0</v>
      </c>
      <c r="D23" s="3">
        <v>60.0</v>
      </c>
      <c r="E23" s="2"/>
      <c r="F23" s="3">
        <v>8.3</v>
      </c>
      <c r="G23" s="2"/>
      <c r="H23" s="2"/>
      <c r="I23" s="3">
        <v>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2">
        <f t="shared" si="2"/>
        <v>84.3</v>
      </c>
      <c r="X23" s="2"/>
      <c r="Y23" s="2"/>
      <c r="Z23" s="2">
        <f t="shared" si="1"/>
        <v>395.1</v>
      </c>
      <c r="AA23" s="2"/>
      <c r="AB23" s="26"/>
    </row>
    <row r="24" ht="14.25" customHeight="1">
      <c r="A24" s="31">
        <v>45711.0</v>
      </c>
      <c r="B24" s="32">
        <v>105.9</v>
      </c>
      <c r="C24" s="32">
        <v>7.0</v>
      </c>
      <c r="D24" s="32">
        <v>60.0</v>
      </c>
      <c r="E24" s="33"/>
      <c r="F24" s="32">
        <v>13.0</v>
      </c>
      <c r="G24" s="32">
        <v>10.3</v>
      </c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4"/>
      <c r="W24" s="33">
        <f t="shared" si="2"/>
        <v>90.3</v>
      </c>
      <c r="X24" s="33">
        <f>sum(B18:B24)</f>
        <v>2070</v>
      </c>
      <c r="Y24" s="33">
        <f>sum(C18:T24)</f>
        <v>629.7</v>
      </c>
      <c r="Z24" s="33">
        <f t="shared" si="1"/>
        <v>15.6</v>
      </c>
      <c r="AA24" s="33">
        <f>X24-Y24</f>
        <v>1440.3</v>
      </c>
      <c r="AB24" s="7">
        <v>1100.0</v>
      </c>
    </row>
    <row r="25" ht="14.25" customHeight="1">
      <c r="A25" s="30">
        <v>45712.0</v>
      </c>
      <c r="B25" s="3">
        <v>110.4</v>
      </c>
      <c r="C25" s="3">
        <v>7.0</v>
      </c>
      <c r="D25" s="2"/>
      <c r="E25" s="2"/>
      <c r="F25" s="3">
        <v>10.3</v>
      </c>
      <c r="G25" s="3">
        <v>4.5</v>
      </c>
      <c r="H25" s="2"/>
      <c r="I25" s="2"/>
      <c r="J25" s="2"/>
      <c r="K25" s="2"/>
      <c r="L25" s="2"/>
      <c r="M25" s="2"/>
      <c r="N25" s="2"/>
      <c r="O25" s="2"/>
      <c r="P25" s="3">
        <v>30.0</v>
      </c>
      <c r="Q25" s="2"/>
      <c r="R25" s="2"/>
      <c r="S25" s="2"/>
      <c r="T25" s="2"/>
      <c r="U25" s="2"/>
      <c r="V25" s="35"/>
      <c r="W25" s="2">
        <f t="shared" si="2"/>
        <v>51.8</v>
      </c>
      <c r="X25" s="2"/>
      <c r="Y25" s="2"/>
      <c r="Z25" s="2">
        <f t="shared" si="1"/>
        <v>58.6</v>
      </c>
      <c r="AA25" s="2"/>
      <c r="AB25" s="26"/>
    </row>
    <row r="26" ht="14.25" customHeight="1">
      <c r="A26" s="30">
        <v>45713.0</v>
      </c>
      <c r="B26" s="3"/>
      <c r="C26" s="2"/>
      <c r="D26" s="3">
        <v>60.0</v>
      </c>
      <c r="E26" s="2"/>
      <c r="F26" s="3">
        <v>14.0</v>
      </c>
      <c r="G26" s="2"/>
      <c r="H26" s="2">
        <f>220+220</f>
        <v>440</v>
      </c>
      <c r="I26" s="3">
        <v>5.5</v>
      </c>
      <c r="J26" s="2"/>
      <c r="K26" s="3">
        <v>7.1</v>
      </c>
      <c r="L26" s="2"/>
      <c r="M26" s="2"/>
      <c r="N26" s="2"/>
      <c r="O26" s="2"/>
      <c r="P26" s="2"/>
      <c r="Q26" s="2"/>
      <c r="R26" s="3"/>
      <c r="S26" s="2"/>
      <c r="T26" s="2"/>
      <c r="U26" s="3">
        <v>15.0</v>
      </c>
      <c r="V26" s="29" t="s">
        <v>60</v>
      </c>
      <c r="W26" s="37">
        <f>SUM(C26:U26)</f>
        <v>541.6</v>
      </c>
      <c r="X26" s="2"/>
      <c r="Y26" s="2"/>
      <c r="Z26" s="2">
        <f t="shared" si="1"/>
        <v>-541.6</v>
      </c>
      <c r="AA26" s="2"/>
      <c r="AB26" s="26"/>
    </row>
    <row r="27" ht="14.25" customHeight="1">
      <c r="A27" s="30">
        <v>45714.0</v>
      </c>
      <c r="B27" s="2"/>
      <c r="C27" s="2"/>
      <c r="D27" s="2"/>
      <c r="E27" s="2"/>
      <c r="F27" s="2">
        <f>6.5+8</f>
        <v>14.5</v>
      </c>
      <c r="G27" s="2"/>
      <c r="H27" s="2"/>
      <c r="I27" s="3">
        <v>26.98</v>
      </c>
      <c r="J27" s="2"/>
      <c r="K27" s="2"/>
      <c r="L27" s="3">
        <v>70.19</v>
      </c>
      <c r="M27" s="2"/>
      <c r="N27" s="2"/>
      <c r="O27" s="2"/>
      <c r="P27" s="2"/>
      <c r="Q27" s="2"/>
      <c r="R27" s="2"/>
      <c r="S27" s="2"/>
      <c r="T27" s="2"/>
      <c r="U27" s="2"/>
      <c r="V27" s="29" t="s">
        <v>61</v>
      </c>
      <c r="W27" s="2">
        <f t="shared" ref="W27:W31" si="3">SUM(C27:T27)</f>
        <v>111.67</v>
      </c>
      <c r="X27" s="2"/>
      <c r="Y27" s="2"/>
      <c r="Z27" s="2">
        <f t="shared" si="1"/>
        <v>-111.67</v>
      </c>
      <c r="AA27" s="2"/>
      <c r="AB27" s="26"/>
    </row>
    <row r="28" ht="14.25" customHeight="1">
      <c r="A28" s="30">
        <v>45715.0</v>
      </c>
      <c r="B28" s="3"/>
      <c r="C28" s="2"/>
      <c r="D28" s="3">
        <v>60.0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3">
        <v>8.56</v>
      </c>
      <c r="T28" s="2"/>
      <c r="U28" s="2"/>
      <c r="V28" s="35"/>
      <c r="W28" s="2">
        <f t="shared" si="3"/>
        <v>68.56</v>
      </c>
      <c r="X28" s="2"/>
      <c r="Y28" s="2"/>
      <c r="Z28" s="2">
        <f t="shared" si="1"/>
        <v>-68.56</v>
      </c>
      <c r="AA28" s="2"/>
      <c r="AB28" s="26"/>
    </row>
    <row r="29" ht="14.25" customHeight="1">
      <c r="A29" s="30">
        <v>45716.0</v>
      </c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3">
        <v>200.0</v>
      </c>
      <c r="U29" s="2"/>
      <c r="V29" s="35"/>
      <c r="W29" s="2">
        <f t="shared" si="3"/>
        <v>200</v>
      </c>
      <c r="X29" s="2"/>
      <c r="Y29" s="2"/>
      <c r="Z29" s="2">
        <f t="shared" si="1"/>
        <v>-200</v>
      </c>
      <c r="AA29" s="2"/>
      <c r="AB29" s="26"/>
    </row>
    <row r="30" ht="14.25" customHeight="1">
      <c r="A30" s="38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35"/>
      <c r="W30" s="2">
        <f t="shared" si="3"/>
        <v>0</v>
      </c>
      <c r="X30" s="2"/>
      <c r="Y30" s="2"/>
      <c r="Z30" s="2">
        <f t="shared" si="1"/>
        <v>0</v>
      </c>
      <c r="AA30" s="2"/>
      <c r="AB30" s="26"/>
    </row>
    <row r="31" ht="14.2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4"/>
      <c r="W31" s="33">
        <f t="shared" si="3"/>
        <v>0</v>
      </c>
      <c r="X31" s="33">
        <f>sum(B25:B31)</f>
        <v>110.4</v>
      </c>
      <c r="Y31" s="33">
        <f>sum(C25:T31)</f>
        <v>958.63</v>
      </c>
      <c r="Z31" s="33">
        <f t="shared" si="1"/>
        <v>0</v>
      </c>
      <c r="AA31" s="33">
        <f>X31-Y31</f>
        <v>-848.23</v>
      </c>
      <c r="AB31" s="26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35"/>
      <c r="W32" s="2">
        <f>X32-Y32</f>
        <v>0</v>
      </c>
      <c r="X32" s="2">
        <f>sum(B32)</f>
        <v>0</v>
      </c>
      <c r="Y32" s="2">
        <f>sum(C32:T32)</f>
        <v>0</v>
      </c>
      <c r="Z32" s="2">
        <f t="shared" si="1"/>
        <v>0</v>
      </c>
      <c r="AA32" s="2"/>
      <c r="AB32" s="26"/>
    </row>
    <row r="33" ht="14.25" customHeight="1">
      <c r="A33" s="2"/>
      <c r="B33" s="26">
        <f t="shared" ref="B33:U33" si="4">SUM(B2:B32)</f>
        <v>5001.5</v>
      </c>
      <c r="C33" s="2">
        <f t="shared" si="4"/>
        <v>128</v>
      </c>
      <c r="D33" s="2">
        <f t="shared" si="4"/>
        <v>1188</v>
      </c>
      <c r="E33" s="2">
        <f t="shared" si="4"/>
        <v>0</v>
      </c>
      <c r="F33" s="2">
        <f t="shared" si="4"/>
        <v>312.1</v>
      </c>
      <c r="G33" s="2">
        <f t="shared" si="4"/>
        <v>125.95</v>
      </c>
      <c r="H33" s="2">
        <f t="shared" si="4"/>
        <v>440</v>
      </c>
      <c r="I33" s="2">
        <f t="shared" si="4"/>
        <v>124.08</v>
      </c>
      <c r="J33" s="2">
        <f t="shared" si="4"/>
        <v>0</v>
      </c>
      <c r="K33" s="2">
        <f t="shared" si="4"/>
        <v>146.7</v>
      </c>
      <c r="L33" s="2">
        <f t="shared" si="4"/>
        <v>70.19</v>
      </c>
      <c r="M33" s="2">
        <f t="shared" si="4"/>
        <v>0</v>
      </c>
      <c r="N33" s="2">
        <f t="shared" si="4"/>
        <v>52.2</v>
      </c>
      <c r="O33" s="2">
        <f t="shared" si="4"/>
        <v>20</v>
      </c>
      <c r="P33" s="2">
        <f t="shared" si="4"/>
        <v>70</v>
      </c>
      <c r="Q33" s="2">
        <f t="shared" si="4"/>
        <v>11</v>
      </c>
      <c r="R33" s="2">
        <f t="shared" si="4"/>
        <v>350</v>
      </c>
      <c r="S33" s="2">
        <f t="shared" si="4"/>
        <v>8.56</v>
      </c>
      <c r="T33" s="2">
        <f t="shared" si="4"/>
        <v>200</v>
      </c>
      <c r="U33" s="2">
        <f t="shared" si="4"/>
        <v>15</v>
      </c>
      <c r="V33" s="35"/>
      <c r="W33" s="2">
        <f>SUM(W2:W32)</f>
        <v>3261.78</v>
      </c>
      <c r="X33" s="2"/>
      <c r="Y33" s="2"/>
      <c r="Z33" s="2"/>
      <c r="AA33" s="2"/>
      <c r="AB33" s="26"/>
    </row>
    <row r="34" ht="14.25" customHeight="1">
      <c r="A34" s="39" t="s">
        <v>62</v>
      </c>
      <c r="B34" s="40">
        <f>B33-(C33+D33+E33+F33+G33+H33+I33+J33+K33+L33+M33+N33+O33+P33+Q33+R33+S33+T33+U33)</f>
        <v>1739.72</v>
      </c>
      <c r="C34" s="41"/>
      <c r="D34" s="41"/>
      <c r="F34" s="2">
        <f>G33+F33</f>
        <v>438.05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9" t="s">
        <v>63</v>
      </c>
      <c r="W34" s="29"/>
      <c r="X34" s="29"/>
      <c r="Y34" s="29"/>
      <c r="Z34" s="29"/>
      <c r="AA34" s="42">
        <f>B34/B33</f>
        <v>0.3478396481</v>
      </c>
      <c r="AB34" s="43"/>
    </row>
  </sheetData>
  <mergeCells count="4">
    <mergeCell ref="D1:E1"/>
    <mergeCell ref="F1:G1"/>
    <mergeCell ref="D34:E34"/>
    <mergeCell ref="F34:G3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88"/>
    <col customWidth="1" min="2" max="2" width="10.75"/>
    <col customWidth="1" min="3" max="3" width="8.63"/>
    <col customWidth="1" min="4" max="5" width="8.25"/>
    <col customWidth="1" min="6" max="7" width="8.0"/>
    <col customWidth="1" min="8" max="9" width="7.63"/>
    <col customWidth="1" min="10" max="14" width="9.75"/>
    <col customWidth="1" min="15" max="21" width="7.63"/>
    <col customWidth="1" min="22" max="22" width="14.38"/>
    <col customWidth="1" min="23" max="27" width="9.38"/>
  </cols>
  <sheetData>
    <row r="1" ht="14.25" customHeight="1">
      <c r="A1" s="44" t="s">
        <v>53</v>
      </c>
      <c r="B1" s="45" t="s">
        <v>1</v>
      </c>
      <c r="C1" s="44" t="s">
        <v>16</v>
      </c>
      <c r="D1" s="44" t="s">
        <v>17</v>
      </c>
      <c r="F1" s="44" t="s">
        <v>18</v>
      </c>
      <c r="H1" s="44" t="s">
        <v>19</v>
      </c>
      <c r="I1" s="44" t="s">
        <v>20</v>
      </c>
      <c r="J1" s="44" t="s">
        <v>21</v>
      </c>
      <c r="K1" s="44" t="s">
        <v>22</v>
      </c>
      <c r="L1" s="44" t="s">
        <v>23</v>
      </c>
      <c r="M1" s="44" t="s">
        <v>24</v>
      </c>
      <c r="N1" s="44" t="s">
        <v>25</v>
      </c>
      <c r="O1" s="44" t="s">
        <v>26</v>
      </c>
      <c r="P1" s="44" t="s">
        <v>27</v>
      </c>
      <c r="Q1" s="44" t="s">
        <v>28</v>
      </c>
      <c r="R1" s="44" t="s">
        <v>29</v>
      </c>
      <c r="S1" s="44" t="s">
        <v>32</v>
      </c>
      <c r="T1" s="44" t="s">
        <v>34</v>
      </c>
      <c r="U1" s="44" t="s">
        <v>36</v>
      </c>
      <c r="V1" s="46" t="s">
        <v>54</v>
      </c>
      <c r="W1" s="44" t="s">
        <v>2</v>
      </c>
      <c r="X1" s="44" t="s">
        <v>55</v>
      </c>
      <c r="Y1" s="44" t="s">
        <v>56</v>
      </c>
      <c r="Z1" s="44" t="s">
        <v>57</v>
      </c>
      <c r="AA1" s="44" t="s">
        <v>58</v>
      </c>
    </row>
    <row r="2" ht="14.25" customHeight="1">
      <c r="A2" s="47">
        <v>45717.0</v>
      </c>
      <c r="B2" s="45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6"/>
      <c r="W2" s="44">
        <f>SUM(C2:V2)</f>
        <v>0</v>
      </c>
      <c r="X2" s="44"/>
      <c r="Y2" s="44"/>
      <c r="Z2" s="44">
        <f t="shared" ref="Z2:Z30" si="1">B2-W2</f>
        <v>0</v>
      </c>
      <c r="AA2" s="44"/>
    </row>
    <row r="3" ht="14.25" customHeight="1">
      <c r="A3" s="48">
        <v>45718.0</v>
      </c>
      <c r="B3" s="49"/>
      <c r="C3" s="50"/>
      <c r="D3" s="50"/>
      <c r="E3" s="50"/>
      <c r="F3" s="50"/>
      <c r="G3" s="50"/>
      <c r="H3" s="50"/>
      <c r="I3" s="50"/>
      <c r="J3" s="50"/>
      <c r="K3" s="51">
        <v>28.25</v>
      </c>
      <c r="L3" s="50"/>
      <c r="M3" s="50"/>
      <c r="N3" s="50"/>
      <c r="O3" s="50"/>
      <c r="P3" s="50"/>
      <c r="Q3" s="50"/>
      <c r="R3" s="50"/>
      <c r="S3" s="50"/>
      <c r="T3" s="50"/>
      <c r="U3" s="50"/>
      <c r="V3" s="52"/>
      <c r="W3" s="50">
        <f t="shared" ref="W3:W30" si="2">SUM(C3:T3)</f>
        <v>28.25</v>
      </c>
      <c r="X3" s="50">
        <f>B2+B3</f>
        <v>0</v>
      </c>
      <c r="Y3" s="50">
        <f>sum(C2:T3)</f>
        <v>28.25</v>
      </c>
      <c r="Z3" s="50">
        <f t="shared" si="1"/>
        <v>-28.25</v>
      </c>
      <c r="AA3" s="50">
        <f>X3-Y3</f>
        <v>-28.25</v>
      </c>
    </row>
    <row r="4" ht="14.25" customHeight="1">
      <c r="A4" s="47">
        <v>45719.0</v>
      </c>
      <c r="B4" s="45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6"/>
      <c r="W4" s="44">
        <f t="shared" si="2"/>
        <v>0</v>
      </c>
      <c r="X4" s="44"/>
      <c r="Y4" s="44"/>
      <c r="Z4" s="44">
        <f t="shared" si="1"/>
        <v>0</v>
      </c>
      <c r="AA4" s="44"/>
    </row>
    <row r="5" ht="14.25" customHeight="1">
      <c r="A5" s="47">
        <v>45720.0</v>
      </c>
      <c r="B5" s="45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53">
        <v>350.0</v>
      </c>
      <c r="S5" s="44"/>
      <c r="T5" s="44"/>
      <c r="U5" s="41"/>
      <c r="V5" s="46"/>
      <c r="W5" s="44">
        <f t="shared" si="2"/>
        <v>350</v>
      </c>
      <c r="X5" s="44"/>
      <c r="Y5" s="44"/>
      <c r="Z5" s="44">
        <f t="shared" si="1"/>
        <v>-350</v>
      </c>
      <c r="AA5" s="44"/>
    </row>
    <row r="6" ht="14.25" customHeight="1">
      <c r="A6" s="47">
        <v>45721.0</v>
      </c>
      <c r="B6" s="45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6"/>
      <c r="W6" s="44">
        <f t="shared" si="2"/>
        <v>0</v>
      </c>
      <c r="X6" s="44"/>
      <c r="Y6" s="44"/>
      <c r="Z6" s="44">
        <f t="shared" si="1"/>
        <v>0</v>
      </c>
      <c r="AA6" s="44"/>
    </row>
    <row r="7" ht="14.25" customHeight="1">
      <c r="A7" s="47">
        <v>45722.0</v>
      </c>
      <c r="B7" s="45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6"/>
      <c r="W7" s="44">
        <f t="shared" si="2"/>
        <v>0</v>
      </c>
      <c r="X7" s="44"/>
      <c r="Y7" s="44"/>
      <c r="Z7" s="44">
        <f t="shared" si="1"/>
        <v>0</v>
      </c>
      <c r="AA7" s="44"/>
    </row>
    <row r="8" ht="14.25" customHeight="1">
      <c r="A8" s="47">
        <v>45723.0</v>
      </c>
      <c r="B8" s="45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53">
        <v>451.82</v>
      </c>
      <c r="O8" s="44"/>
      <c r="P8" s="44"/>
      <c r="Q8" s="44"/>
      <c r="R8" s="44"/>
      <c r="S8" s="44"/>
      <c r="T8" s="44"/>
      <c r="U8" s="44"/>
      <c r="V8" s="54" t="s">
        <v>64</v>
      </c>
      <c r="W8" s="44">
        <f t="shared" si="2"/>
        <v>451.82</v>
      </c>
      <c r="X8" s="44"/>
      <c r="Y8" s="44"/>
      <c r="Z8" s="44">
        <f t="shared" si="1"/>
        <v>-451.82</v>
      </c>
      <c r="AA8" s="44"/>
    </row>
    <row r="9" ht="14.25" customHeight="1">
      <c r="A9" s="47">
        <v>45724.0</v>
      </c>
      <c r="B9" s="45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O9" s="44"/>
      <c r="P9" s="44"/>
      <c r="Q9" s="44"/>
      <c r="R9" s="44"/>
      <c r="S9" s="44"/>
      <c r="T9" s="44"/>
      <c r="U9" s="44"/>
      <c r="V9" s="46"/>
      <c r="W9" s="44">
        <f t="shared" si="2"/>
        <v>0</v>
      </c>
      <c r="X9" s="44"/>
      <c r="Y9" s="44"/>
      <c r="Z9" s="44">
        <f t="shared" si="1"/>
        <v>0</v>
      </c>
      <c r="AA9" s="44"/>
    </row>
    <row r="10" ht="14.25" customHeight="1">
      <c r="A10" s="48">
        <v>45725.0</v>
      </c>
      <c r="B10" s="49"/>
      <c r="C10" s="50"/>
      <c r="D10" s="50"/>
      <c r="E10" s="50"/>
      <c r="F10" s="50"/>
      <c r="G10" s="50"/>
      <c r="H10" s="50"/>
      <c r="I10" s="50"/>
      <c r="J10" s="50"/>
      <c r="K10" s="50"/>
      <c r="L10" s="51">
        <f>34.82+30.83</f>
        <v>65.65</v>
      </c>
      <c r="M10" s="50"/>
      <c r="N10" s="50"/>
      <c r="O10" s="50"/>
      <c r="P10" s="50"/>
      <c r="Q10" s="50"/>
      <c r="R10" s="50"/>
      <c r="S10" s="50"/>
      <c r="T10" s="50"/>
      <c r="U10" s="50"/>
      <c r="V10" s="55" t="s">
        <v>65</v>
      </c>
      <c r="W10" s="50">
        <f t="shared" si="2"/>
        <v>65.65</v>
      </c>
      <c r="X10" s="50">
        <f>sum(B4:B10)</f>
        <v>0</v>
      </c>
      <c r="Y10" s="50">
        <f>sum(C4:T10)</f>
        <v>867.47</v>
      </c>
      <c r="Z10" s="50">
        <f t="shared" si="1"/>
        <v>-65.65</v>
      </c>
      <c r="AA10" s="50">
        <f>X10-Y10</f>
        <v>-867.47</v>
      </c>
    </row>
    <row r="11" ht="14.25" customHeight="1">
      <c r="A11" s="47">
        <v>45726.0</v>
      </c>
      <c r="B11" s="45"/>
      <c r="C11" s="44"/>
      <c r="D11" s="44"/>
      <c r="E11" s="44"/>
      <c r="F11" s="44"/>
      <c r="G11" s="44"/>
      <c r="H11" s="44"/>
      <c r="I11" s="44"/>
      <c r="J11" s="44"/>
      <c r="K11" s="44"/>
      <c r="L11" s="53">
        <v>56.74</v>
      </c>
      <c r="M11" s="44"/>
      <c r="N11" s="44"/>
      <c r="O11" s="44"/>
      <c r="P11" s="44"/>
      <c r="Q11" s="44"/>
      <c r="R11" s="44"/>
      <c r="S11" s="44"/>
      <c r="T11" s="44"/>
      <c r="U11" s="44"/>
      <c r="V11" s="54" t="s">
        <v>66</v>
      </c>
      <c r="W11" s="44">
        <f t="shared" si="2"/>
        <v>56.74</v>
      </c>
      <c r="X11" s="44"/>
      <c r="Y11" s="44"/>
      <c r="Z11" s="44">
        <f t="shared" si="1"/>
        <v>-56.74</v>
      </c>
      <c r="AA11" s="44"/>
    </row>
    <row r="12" ht="14.25" customHeight="1">
      <c r="A12" s="47">
        <v>45727.0</v>
      </c>
      <c r="B12" s="45"/>
      <c r="C12" s="44"/>
      <c r="D12" s="44"/>
      <c r="E12" s="44"/>
      <c r="F12" s="44"/>
      <c r="G12" s="44"/>
      <c r="H12" s="44"/>
      <c r="I12" s="44"/>
      <c r="J12" s="44"/>
      <c r="K12" s="44"/>
      <c r="L12" s="53">
        <v>62.19</v>
      </c>
      <c r="M12" s="44"/>
      <c r="N12" s="44"/>
      <c r="O12" s="44"/>
      <c r="P12" s="44"/>
      <c r="Q12" s="44"/>
      <c r="R12" s="44"/>
      <c r="S12" s="44"/>
      <c r="T12" s="44"/>
      <c r="U12" s="44"/>
      <c r="V12" s="46"/>
      <c r="W12" s="44">
        <f t="shared" si="2"/>
        <v>62.19</v>
      </c>
      <c r="X12" s="44"/>
      <c r="Y12" s="44"/>
      <c r="Z12" s="44">
        <f t="shared" si="1"/>
        <v>-62.19</v>
      </c>
      <c r="AA12" s="44"/>
    </row>
    <row r="13" ht="14.25" customHeight="1">
      <c r="A13" s="47">
        <v>45728.0</v>
      </c>
      <c r="B13" s="45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6"/>
      <c r="W13" s="44">
        <f t="shared" si="2"/>
        <v>0</v>
      </c>
      <c r="X13" s="44"/>
      <c r="Y13" s="44"/>
      <c r="Z13" s="44">
        <f t="shared" si="1"/>
        <v>0</v>
      </c>
      <c r="AA13" s="44"/>
    </row>
    <row r="14" ht="14.25" customHeight="1">
      <c r="A14" s="47">
        <v>45729.0</v>
      </c>
      <c r="B14" s="45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6"/>
      <c r="W14" s="44">
        <f t="shared" si="2"/>
        <v>0</v>
      </c>
      <c r="X14" s="44"/>
      <c r="Y14" s="44"/>
      <c r="Z14" s="44">
        <f t="shared" si="1"/>
        <v>0</v>
      </c>
      <c r="AA14" s="44"/>
    </row>
    <row r="15" ht="14.25" customHeight="1">
      <c r="A15" s="47">
        <v>45730.0</v>
      </c>
      <c r="B15" s="45"/>
      <c r="C15" s="44"/>
      <c r="D15" s="44"/>
      <c r="E15" s="44"/>
      <c r="F15" s="44"/>
      <c r="G15" s="44"/>
      <c r="H15" s="44"/>
      <c r="I15" s="44"/>
      <c r="J15" s="44"/>
      <c r="K15" s="44"/>
      <c r="L15" s="53">
        <v>32.7</v>
      </c>
      <c r="M15" s="44"/>
      <c r="N15" s="44"/>
      <c r="O15" s="44"/>
      <c r="P15" s="44"/>
      <c r="Q15" s="44"/>
      <c r="R15" s="44"/>
      <c r="S15" s="44"/>
      <c r="T15" s="44"/>
      <c r="U15" s="44"/>
      <c r="V15" s="46"/>
      <c r="W15" s="44">
        <f t="shared" si="2"/>
        <v>32.7</v>
      </c>
      <c r="X15" s="44"/>
      <c r="Y15" s="44"/>
      <c r="Z15" s="44">
        <f t="shared" si="1"/>
        <v>-32.7</v>
      </c>
      <c r="AA15" s="44"/>
    </row>
    <row r="16" ht="14.25" customHeight="1">
      <c r="A16" s="47">
        <v>45731.0</v>
      </c>
      <c r="B16" s="45"/>
      <c r="C16" s="44"/>
      <c r="D16" s="44"/>
      <c r="E16" s="44"/>
      <c r="F16" s="44"/>
      <c r="G16" s="44"/>
      <c r="H16" s="44"/>
      <c r="I16" s="44"/>
      <c r="J16" s="44"/>
      <c r="K16" s="53">
        <v>29.4</v>
      </c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6"/>
      <c r="W16" s="44">
        <f t="shared" si="2"/>
        <v>29.4</v>
      </c>
      <c r="X16" s="44"/>
      <c r="Y16" s="44"/>
      <c r="Z16" s="44">
        <f t="shared" si="1"/>
        <v>-29.4</v>
      </c>
      <c r="AA16" s="44"/>
    </row>
    <row r="17" ht="14.25" customHeight="1">
      <c r="A17" s="48">
        <v>45732.0</v>
      </c>
      <c r="B17" s="49"/>
      <c r="C17" s="50"/>
      <c r="D17" s="50"/>
      <c r="E17" s="50"/>
      <c r="F17" s="50"/>
      <c r="G17" s="50"/>
      <c r="H17" s="50"/>
      <c r="I17" s="50"/>
      <c r="J17" s="50"/>
      <c r="K17" s="50"/>
      <c r="L17" s="51">
        <v>60.0</v>
      </c>
      <c r="M17" s="50"/>
      <c r="N17" s="50"/>
      <c r="O17" s="50"/>
      <c r="P17" s="50"/>
      <c r="Q17" s="50"/>
      <c r="R17" s="50"/>
      <c r="S17" s="50"/>
      <c r="T17" s="50"/>
      <c r="U17" s="50"/>
      <c r="V17" s="52"/>
      <c r="W17" s="50">
        <f t="shared" si="2"/>
        <v>60</v>
      </c>
      <c r="X17" s="50">
        <f>sum(B11:B17)</f>
        <v>0</v>
      </c>
      <c r="Y17" s="50">
        <f>sum(C11:T17)</f>
        <v>241.03</v>
      </c>
      <c r="Z17" s="50">
        <f t="shared" si="1"/>
        <v>-60</v>
      </c>
      <c r="AA17" s="50">
        <f>X17-Y17</f>
        <v>-241.03</v>
      </c>
    </row>
    <row r="18" ht="14.25" customHeight="1">
      <c r="A18" s="47">
        <v>45733.0</v>
      </c>
      <c r="B18" s="45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6"/>
      <c r="W18" s="44">
        <f t="shared" si="2"/>
        <v>0</v>
      </c>
      <c r="X18" s="44"/>
      <c r="Y18" s="44"/>
      <c r="Z18" s="44">
        <f t="shared" si="1"/>
        <v>0</v>
      </c>
      <c r="AA18" s="44"/>
    </row>
    <row r="19" ht="14.25" customHeight="1">
      <c r="A19" s="47">
        <v>45734.0</v>
      </c>
      <c r="B19" s="45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6"/>
      <c r="W19" s="44">
        <f t="shared" si="2"/>
        <v>0</v>
      </c>
      <c r="X19" s="44"/>
      <c r="Y19" s="44"/>
      <c r="Z19" s="44">
        <f t="shared" si="1"/>
        <v>0</v>
      </c>
      <c r="AA19" s="44"/>
    </row>
    <row r="20" ht="14.25" customHeight="1">
      <c r="A20" s="47">
        <v>45735.0</v>
      </c>
      <c r="B20" s="45"/>
      <c r="C20" s="44"/>
      <c r="D20" s="44"/>
      <c r="E20" s="44"/>
      <c r="F20" s="44"/>
      <c r="G20" s="44"/>
      <c r="H20" s="44"/>
      <c r="I20" s="44"/>
      <c r="J20" s="44"/>
      <c r="K20" s="44">
        <f>23.2+31.4</f>
        <v>54.6</v>
      </c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6"/>
      <c r="W20" s="44">
        <f t="shared" si="2"/>
        <v>54.6</v>
      </c>
      <c r="X20" s="44"/>
      <c r="Y20" s="44"/>
      <c r="Z20" s="44">
        <f t="shared" si="1"/>
        <v>-54.6</v>
      </c>
      <c r="AA20" s="44"/>
    </row>
    <row r="21" ht="14.25" customHeight="1">
      <c r="A21" s="47">
        <v>45736.0</v>
      </c>
      <c r="B21" s="45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53">
        <v>299.8</v>
      </c>
      <c r="O21" s="44"/>
      <c r="P21" s="44"/>
      <c r="Q21" s="44"/>
      <c r="R21" s="44"/>
      <c r="S21" s="44"/>
      <c r="T21" s="44"/>
      <c r="U21" s="44"/>
      <c r="V21" s="54" t="s">
        <v>67</v>
      </c>
      <c r="W21" s="44">
        <f t="shared" si="2"/>
        <v>299.8</v>
      </c>
      <c r="X21" s="44"/>
      <c r="Y21" s="44"/>
      <c r="Z21" s="44">
        <f t="shared" si="1"/>
        <v>-299.8</v>
      </c>
      <c r="AA21" s="44"/>
    </row>
    <row r="22" ht="14.25" customHeight="1">
      <c r="A22" s="47">
        <v>45737.0</v>
      </c>
      <c r="B22" s="56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6"/>
      <c r="W22" s="44">
        <f t="shared" si="2"/>
        <v>0</v>
      </c>
      <c r="X22" s="44"/>
      <c r="Y22" s="44"/>
      <c r="Z22" s="44">
        <f t="shared" si="1"/>
        <v>0</v>
      </c>
      <c r="AA22" s="44"/>
    </row>
    <row r="23" ht="14.25" customHeight="1">
      <c r="A23" s="47">
        <v>45738.0</v>
      </c>
      <c r="B23" s="45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6"/>
      <c r="W23" s="44">
        <f t="shared" si="2"/>
        <v>0</v>
      </c>
      <c r="X23" s="44"/>
      <c r="Y23" s="44"/>
      <c r="Z23" s="44">
        <f t="shared" si="1"/>
        <v>0</v>
      </c>
      <c r="AA23" s="44"/>
    </row>
    <row r="24" ht="14.25" customHeight="1">
      <c r="A24" s="48">
        <v>45739.0</v>
      </c>
      <c r="B24" s="49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1">
        <v>10.0</v>
      </c>
      <c r="P24" s="50"/>
      <c r="Q24" s="50"/>
      <c r="R24" s="50"/>
      <c r="S24" s="50"/>
      <c r="T24" s="50"/>
      <c r="U24" s="50"/>
      <c r="V24" s="55" t="s">
        <v>68</v>
      </c>
      <c r="W24" s="50">
        <f t="shared" si="2"/>
        <v>10</v>
      </c>
      <c r="X24" s="50">
        <f>sum(B18:B24)</f>
        <v>0</v>
      </c>
      <c r="Y24" s="50">
        <f>sum(C18:T24)</f>
        <v>364.4</v>
      </c>
      <c r="Z24" s="50">
        <f t="shared" si="1"/>
        <v>-10</v>
      </c>
      <c r="AA24" s="50">
        <f>X24-Y24</f>
        <v>-364.4</v>
      </c>
    </row>
    <row r="25" ht="14.25" customHeight="1">
      <c r="A25" s="47">
        <v>45740.0</v>
      </c>
      <c r="B25" s="45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6"/>
      <c r="W25" s="44">
        <f t="shared" si="2"/>
        <v>0</v>
      </c>
      <c r="X25" s="44"/>
      <c r="Y25" s="44"/>
      <c r="Z25" s="44">
        <f t="shared" si="1"/>
        <v>0</v>
      </c>
      <c r="AA25" s="44"/>
    </row>
    <row r="26" ht="14.25" customHeight="1">
      <c r="A26" s="47">
        <v>45741.0</v>
      </c>
      <c r="B26" s="45"/>
      <c r="C26" s="44"/>
      <c r="D26" s="44"/>
      <c r="E26" s="44"/>
      <c r="F26" s="44"/>
      <c r="G26" s="44"/>
      <c r="H26" s="44"/>
      <c r="I26" s="44"/>
      <c r="J26" s="44"/>
      <c r="K26" s="44"/>
      <c r="L26" s="53">
        <v>269.01</v>
      </c>
      <c r="M26" s="44"/>
      <c r="N26" s="44"/>
      <c r="O26" s="44"/>
      <c r="P26" s="44"/>
      <c r="Q26" s="44"/>
      <c r="R26" s="44"/>
      <c r="S26" s="44"/>
      <c r="T26" s="44"/>
      <c r="U26" s="44"/>
      <c r="V26" s="54" t="s">
        <v>69</v>
      </c>
      <c r="W26" s="44">
        <f t="shared" si="2"/>
        <v>269.01</v>
      </c>
      <c r="X26" s="44"/>
      <c r="Y26" s="44"/>
      <c r="Z26" s="44">
        <f t="shared" si="1"/>
        <v>-269.01</v>
      </c>
      <c r="AA26" s="44"/>
    </row>
    <row r="27" ht="14.25" customHeight="1">
      <c r="A27" s="47">
        <v>45742.0</v>
      </c>
      <c r="B27" s="45"/>
      <c r="C27" s="44"/>
      <c r="D27" s="53">
        <v>60.0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6"/>
      <c r="W27" s="44">
        <f t="shared" si="2"/>
        <v>60</v>
      </c>
      <c r="X27" s="44"/>
      <c r="Y27" s="44"/>
      <c r="Z27" s="44">
        <f t="shared" si="1"/>
        <v>-60</v>
      </c>
      <c r="AA27" s="44"/>
    </row>
    <row r="28" ht="14.25" customHeight="1">
      <c r="A28" s="47">
        <v>45743.0</v>
      </c>
      <c r="B28" s="45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6"/>
      <c r="W28" s="44">
        <f t="shared" si="2"/>
        <v>0</v>
      </c>
      <c r="X28" s="44"/>
      <c r="Y28" s="44"/>
      <c r="Z28" s="44">
        <f t="shared" si="1"/>
        <v>0</v>
      </c>
      <c r="AA28" s="44"/>
    </row>
    <row r="29" ht="14.25" customHeight="1">
      <c r="A29" s="47">
        <v>45744.0</v>
      </c>
      <c r="B29" s="45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6"/>
      <c r="W29" s="44">
        <f t="shared" si="2"/>
        <v>0</v>
      </c>
      <c r="X29" s="44"/>
      <c r="Y29" s="44"/>
      <c r="Z29" s="44">
        <f t="shared" si="1"/>
        <v>0</v>
      </c>
      <c r="AA29" s="44"/>
    </row>
    <row r="30" ht="14.25" customHeight="1">
      <c r="A30" s="47">
        <v>45745.0</v>
      </c>
      <c r="B30" s="45"/>
      <c r="C30" s="44"/>
      <c r="D30" s="44"/>
      <c r="E30" s="44"/>
      <c r="F30" s="44"/>
      <c r="G30" s="44"/>
      <c r="H30" s="44"/>
      <c r="I30" s="44"/>
      <c r="J30" s="44"/>
      <c r="K30" s="53">
        <v>42.9</v>
      </c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6"/>
      <c r="W30" s="44">
        <f t="shared" si="2"/>
        <v>42.9</v>
      </c>
      <c r="X30" s="44"/>
      <c r="Y30" s="44"/>
      <c r="Z30" s="44">
        <f t="shared" si="1"/>
        <v>-42.9</v>
      </c>
      <c r="AA30" s="44"/>
    </row>
    <row r="31" ht="14.25" customHeight="1">
      <c r="A31" s="47">
        <v>45746.0</v>
      </c>
      <c r="B31" s="45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6"/>
      <c r="W31" s="44"/>
      <c r="X31" s="44"/>
      <c r="Y31" s="44"/>
      <c r="Z31" s="44"/>
      <c r="AA31" s="44"/>
    </row>
    <row r="32" ht="14.25" customHeight="1">
      <c r="A32" s="48">
        <v>45747.0</v>
      </c>
      <c r="B32" s="49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2"/>
      <c r="W32" s="50">
        <f>SUM(C32:T32)</f>
        <v>0</v>
      </c>
      <c r="X32" s="50">
        <f>sum(B25:B32)</f>
        <v>0</v>
      </c>
      <c r="Y32" s="50">
        <f>sum(C25:T32)</f>
        <v>371.91</v>
      </c>
      <c r="Z32" s="50">
        <f t="shared" ref="Z32:Z33" si="3">B32-W32</f>
        <v>0</v>
      </c>
      <c r="AA32" s="50">
        <f>X32-Y32</f>
        <v>-371.91</v>
      </c>
    </row>
    <row r="33" ht="14.25" customHeight="1">
      <c r="A33" s="44"/>
      <c r="B33" s="45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6"/>
      <c r="W33" s="44">
        <f>X33-Y33</f>
        <v>0</v>
      </c>
      <c r="X33" s="44">
        <f>sum(B33)</f>
        <v>0</v>
      </c>
      <c r="Y33" s="44">
        <f>sum(C33:T33)</f>
        <v>0</v>
      </c>
      <c r="Z33" s="44">
        <f t="shared" si="3"/>
        <v>0</v>
      </c>
      <c r="AA33" s="44"/>
    </row>
    <row r="34" ht="14.25" customHeight="1">
      <c r="A34" s="44"/>
      <c r="B34" s="45">
        <f t="shared" ref="B34:U34" si="4">SUM(B2:B33)</f>
        <v>0</v>
      </c>
      <c r="C34" s="44">
        <f t="shared" si="4"/>
        <v>0</v>
      </c>
      <c r="D34" s="44">
        <f t="shared" si="4"/>
        <v>60</v>
      </c>
      <c r="E34" s="44">
        <f t="shared" si="4"/>
        <v>0</v>
      </c>
      <c r="F34" s="44">
        <f t="shared" si="4"/>
        <v>0</v>
      </c>
      <c r="G34" s="44">
        <f t="shared" si="4"/>
        <v>0</v>
      </c>
      <c r="H34" s="44">
        <f t="shared" si="4"/>
        <v>0</v>
      </c>
      <c r="I34" s="44">
        <f t="shared" si="4"/>
        <v>0</v>
      </c>
      <c r="J34" s="44">
        <f t="shared" si="4"/>
        <v>0</v>
      </c>
      <c r="K34" s="44">
        <f t="shared" si="4"/>
        <v>155.15</v>
      </c>
      <c r="L34" s="44">
        <f t="shared" si="4"/>
        <v>546.29</v>
      </c>
      <c r="M34" s="44">
        <f t="shared" si="4"/>
        <v>0</v>
      </c>
      <c r="N34" s="44">
        <f t="shared" si="4"/>
        <v>751.62</v>
      </c>
      <c r="O34" s="44">
        <f t="shared" si="4"/>
        <v>10</v>
      </c>
      <c r="P34" s="44">
        <f t="shared" si="4"/>
        <v>0</v>
      </c>
      <c r="Q34" s="44">
        <f t="shared" si="4"/>
        <v>0</v>
      </c>
      <c r="R34" s="44">
        <f t="shared" si="4"/>
        <v>350</v>
      </c>
      <c r="S34" s="44">
        <f t="shared" si="4"/>
        <v>0</v>
      </c>
      <c r="T34" s="44">
        <f t="shared" si="4"/>
        <v>0</v>
      </c>
      <c r="U34" s="44">
        <f t="shared" si="4"/>
        <v>0</v>
      </c>
      <c r="V34" s="46"/>
      <c r="W34" s="44">
        <f>SUM(W2:W33)</f>
        <v>1873.06</v>
      </c>
      <c r="X34" s="44"/>
      <c r="Y34" s="44"/>
      <c r="Z34" s="44"/>
      <c r="AA34" s="44"/>
    </row>
    <row r="35" ht="14.25" customHeight="1">
      <c r="A35" s="57" t="s">
        <v>62</v>
      </c>
      <c r="B35" s="58">
        <f>B34-(C34+D34+E34+F34+G34+H34+I34+J34+K34+L34+M34+N34+O34+P34+Q34+R34+S34+T34+U34)</f>
        <v>-1873.06</v>
      </c>
      <c r="C35" s="44"/>
      <c r="D35" s="44"/>
      <c r="E35" s="44"/>
      <c r="F35" s="44">
        <f>G34+F34</f>
        <v>0</v>
      </c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6" t="s">
        <v>63</v>
      </c>
      <c r="W35" s="46"/>
      <c r="X35" s="46"/>
      <c r="Y35" s="46"/>
      <c r="Z35" s="46"/>
      <c r="AA35" s="59" t="str">
        <f>B35/B34</f>
        <v>#DIV/0!</v>
      </c>
    </row>
  </sheetData>
  <mergeCells count="3">
    <mergeCell ref="D1:E1"/>
    <mergeCell ref="F1:G1"/>
    <mergeCell ref="F35:G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88"/>
    <col customWidth="1" min="2" max="2" width="10.75"/>
    <col customWidth="1" min="3" max="3" width="8.63"/>
    <col customWidth="1" min="4" max="5" width="8.25"/>
    <col customWidth="1" min="6" max="7" width="8.0"/>
    <col customWidth="1" min="8" max="9" width="7.63"/>
    <col customWidth="1" min="10" max="14" width="9.75"/>
    <col customWidth="1" min="15" max="31" width="7.63"/>
    <col customWidth="1" min="32" max="32" width="14.38"/>
    <col customWidth="1" min="33" max="33" width="9.38"/>
    <col customWidth="1" min="34" max="34" width="11.5"/>
    <col customWidth="1" min="35" max="37" width="9.38"/>
    <col customWidth="1" min="38" max="39" width="9.75"/>
  </cols>
  <sheetData>
    <row r="1" ht="14.25" customHeight="1">
      <c r="A1" s="44" t="s">
        <v>53</v>
      </c>
      <c r="B1" s="44" t="s">
        <v>1</v>
      </c>
      <c r="C1" s="44" t="s">
        <v>16</v>
      </c>
      <c r="D1" s="44" t="s">
        <v>17</v>
      </c>
      <c r="F1" s="44" t="s">
        <v>18</v>
      </c>
      <c r="H1" s="44" t="s">
        <v>19</v>
      </c>
      <c r="I1" s="44" t="s">
        <v>20</v>
      </c>
      <c r="J1" s="44" t="s">
        <v>21</v>
      </c>
      <c r="K1" s="44" t="s">
        <v>22</v>
      </c>
      <c r="L1" s="44" t="s">
        <v>23</v>
      </c>
      <c r="M1" s="44" t="s">
        <v>24</v>
      </c>
      <c r="N1" s="44" t="s">
        <v>25</v>
      </c>
      <c r="O1" s="44" t="s">
        <v>26</v>
      </c>
      <c r="P1" s="44" t="s">
        <v>27</v>
      </c>
      <c r="Q1" s="44" t="s">
        <v>28</v>
      </c>
      <c r="R1" s="44" t="s">
        <v>29</v>
      </c>
      <c r="S1" s="44" t="s">
        <v>32</v>
      </c>
      <c r="T1" s="44" t="s">
        <v>34</v>
      </c>
      <c r="U1" s="44" t="s">
        <v>36</v>
      </c>
      <c r="V1" s="53" t="s">
        <v>40</v>
      </c>
      <c r="W1" s="53" t="s">
        <v>70</v>
      </c>
      <c r="X1" s="53" t="s">
        <v>71</v>
      </c>
      <c r="Y1" s="53" t="s">
        <v>72</v>
      </c>
      <c r="Z1" s="53" t="s">
        <v>73</v>
      </c>
      <c r="AA1" s="53" t="s">
        <v>74</v>
      </c>
      <c r="AB1" s="53" t="s">
        <v>75</v>
      </c>
      <c r="AC1" s="53" t="s">
        <v>76</v>
      </c>
      <c r="AD1" s="53" t="s">
        <v>77</v>
      </c>
      <c r="AE1" s="53" t="s">
        <v>33</v>
      </c>
      <c r="AF1" s="46" t="s">
        <v>54</v>
      </c>
      <c r="AG1" s="44" t="s">
        <v>2</v>
      </c>
      <c r="AH1" s="44" t="s">
        <v>55</v>
      </c>
      <c r="AI1" s="44" t="s">
        <v>56</v>
      </c>
      <c r="AJ1" s="44" t="s">
        <v>57</v>
      </c>
      <c r="AK1" s="44" t="s">
        <v>58</v>
      </c>
      <c r="AL1" s="53" t="s">
        <v>78</v>
      </c>
      <c r="AM1" s="60" t="s">
        <v>46</v>
      </c>
    </row>
    <row r="2" ht="14.25" customHeight="1">
      <c r="A2" s="47">
        <v>45748.0</v>
      </c>
      <c r="B2" s="53"/>
      <c r="C2" s="44"/>
      <c r="D2" s="53">
        <v>65.0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6"/>
      <c r="AG2" s="44">
        <f t="shared" ref="AG2:AG31" si="1">Sum(C2:U2)</f>
        <v>65</v>
      </c>
      <c r="AH2" s="44"/>
      <c r="AI2" s="44"/>
      <c r="AJ2" s="44">
        <f t="shared" ref="AJ2:AJ31" si="2">B2-AG2</f>
        <v>-65</v>
      </c>
      <c r="AK2" s="44"/>
      <c r="AL2" s="44">
        <f>AJ2</f>
        <v>-65</v>
      </c>
      <c r="AM2" s="60"/>
    </row>
    <row r="3" ht="14.25" customHeight="1">
      <c r="A3" s="47">
        <v>45749.0</v>
      </c>
      <c r="B3" s="53"/>
      <c r="C3" s="53">
        <v>7.0</v>
      </c>
      <c r="D3" s="44"/>
      <c r="E3" s="44"/>
      <c r="F3" s="53">
        <v>13.0</v>
      </c>
      <c r="G3" s="44"/>
      <c r="H3" s="44"/>
      <c r="I3" s="44"/>
      <c r="J3" s="44"/>
      <c r="K3" s="53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6"/>
      <c r="AG3" s="44">
        <f t="shared" si="1"/>
        <v>20</v>
      </c>
      <c r="AH3" s="44"/>
      <c r="AI3" s="44"/>
      <c r="AJ3" s="44">
        <f t="shared" si="2"/>
        <v>-20</v>
      </c>
      <c r="AK3" s="44"/>
      <c r="AL3" s="44">
        <f t="shared" ref="AL3:AL31" si="3">AL2+AJ3</f>
        <v>-85</v>
      </c>
      <c r="AM3" s="60"/>
    </row>
    <row r="4" ht="14.25" customHeight="1">
      <c r="A4" s="47">
        <v>45750.0</v>
      </c>
      <c r="B4" s="53">
        <v>346.0</v>
      </c>
      <c r="C4" s="53">
        <v>7.0</v>
      </c>
      <c r="D4" s="53">
        <v>50.0</v>
      </c>
      <c r="E4" s="53">
        <v>50.0</v>
      </c>
      <c r="F4" s="53">
        <v>14.0</v>
      </c>
      <c r="G4" s="44"/>
      <c r="H4" s="44"/>
      <c r="I4" s="53">
        <v>0.85</v>
      </c>
      <c r="J4" s="44"/>
      <c r="K4" s="53">
        <v>5.8</v>
      </c>
      <c r="L4" s="44"/>
      <c r="M4" s="44"/>
      <c r="N4" s="44"/>
      <c r="O4" s="53">
        <v>2.0</v>
      </c>
      <c r="P4" s="44"/>
      <c r="Q4" s="44"/>
      <c r="R4" s="44"/>
      <c r="S4" s="44"/>
      <c r="T4" s="44"/>
      <c r="U4" s="44"/>
      <c r="V4" s="53">
        <v>29.0</v>
      </c>
      <c r="W4" s="53">
        <v>19.0</v>
      </c>
      <c r="X4" s="53">
        <v>5.0</v>
      </c>
      <c r="Y4" s="53">
        <v>3.0</v>
      </c>
      <c r="Z4" s="53"/>
      <c r="AA4" s="53">
        <v>2.0</v>
      </c>
      <c r="AB4" s="53"/>
      <c r="AC4" s="53"/>
      <c r="AD4" s="53"/>
      <c r="AE4" s="53">
        <f t="shared" ref="AE4:AE31" si="4">SUM(W4:AD4)</f>
        <v>29</v>
      </c>
      <c r="AF4" s="46"/>
      <c r="AG4" s="44">
        <f t="shared" si="1"/>
        <v>129.65</v>
      </c>
      <c r="AH4" s="44"/>
      <c r="AI4" s="44"/>
      <c r="AJ4" s="44">
        <f t="shared" si="2"/>
        <v>216.35</v>
      </c>
      <c r="AK4" s="44"/>
      <c r="AL4" s="44">
        <f t="shared" si="3"/>
        <v>131.35</v>
      </c>
      <c r="AM4" s="60"/>
    </row>
    <row r="5" ht="14.25" customHeight="1">
      <c r="A5" s="47">
        <v>45751.0</v>
      </c>
      <c r="B5" s="53">
        <v>474.8</v>
      </c>
      <c r="C5" s="53">
        <v>7.0</v>
      </c>
      <c r="D5" s="53">
        <v>50.0</v>
      </c>
      <c r="E5" s="53">
        <v>50.0</v>
      </c>
      <c r="F5" s="53"/>
      <c r="G5" s="44"/>
      <c r="H5" s="44"/>
      <c r="I5" s="53">
        <v>0.5</v>
      </c>
      <c r="J5" s="44"/>
      <c r="K5" s="53">
        <v>5.8</v>
      </c>
      <c r="L5" s="44"/>
      <c r="M5" s="44"/>
      <c r="N5" s="44"/>
      <c r="O5" s="44"/>
      <c r="P5" s="44"/>
      <c r="Q5" s="44"/>
      <c r="R5" s="53"/>
      <c r="S5" s="44"/>
      <c r="T5" s="44"/>
      <c r="U5" s="41"/>
      <c r="V5" s="36">
        <v>30.0</v>
      </c>
      <c r="W5" s="36">
        <v>18.0</v>
      </c>
      <c r="X5" s="36">
        <v>6.0</v>
      </c>
      <c r="Y5" s="36">
        <v>1.0</v>
      </c>
      <c r="Z5" s="36">
        <v>1.0</v>
      </c>
      <c r="AA5" s="36">
        <v>1.0</v>
      </c>
      <c r="AB5" s="36">
        <v>2.0</v>
      </c>
      <c r="AC5" s="36">
        <v>1.0</v>
      </c>
      <c r="AD5" s="41"/>
      <c r="AE5" s="53">
        <f t="shared" si="4"/>
        <v>30</v>
      </c>
      <c r="AF5" s="46"/>
      <c r="AG5" s="44">
        <f t="shared" si="1"/>
        <v>113.3</v>
      </c>
      <c r="AH5" s="44"/>
      <c r="AI5" s="44"/>
      <c r="AJ5" s="44">
        <f t="shared" si="2"/>
        <v>361.5</v>
      </c>
      <c r="AK5" s="44"/>
      <c r="AL5" s="44">
        <f t="shared" si="3"/>
        <v>492.85</v>
      </c>
      <c r="AM5" s="60"/>
    </row>
    <row r="6" ht="14.25" customHeight="1">
      <c r="A6" s="47">
        <v>45752.0</v>
      </c>
      <c r="B6" s="53">
        <v>302.3</v>
      </c>
      <c r="C6" s="53">
        <v>7.0</v>
      </c>
      <c r="D6" s="53">
        <v>50.0</v>
      </c>
      <c r="E6" s="44"/>
      <c r="F6" s="53">
        <v>11.3</v>
      </c>
      <c r="G6" s="44"/>
      <c r="H6" s="44"/>
      <c r="I6" s="44"/>
      <c r="J6" s="44"/>
      <c r="K6" s="53">
        <v>2.4</v>
      </c>
      <c r="L6" s="53">
        <v>5.7</v>
      </c>
      <c r="M6" s="44"/>
      <c r="N6" s="44"/>
      <c r="O6" s="53">
        <v>0.7</v>
      </c>
      <c r="P6" s="44"/>
      <c r="Q6" s="44"/>
      <c r="R6" s="44"/>
      <c r="S6" s="44"/>
      <c r="T6" s="44"/>
      <c r="U6" s="44"/>
      <c r="V6" s="53">
        <v>26.0</v>
      </c>
      <c r="W6" s="53">
        <v>14.0</v>
      </c>
      <c r="X6" s="53">
        <v>10.0</v>
      </c>
      <c r="Y6" s="53">
        <v>1.0</v>
      </c>
      <c r="Z6" s="53">
        <v>1.0</v>
      </c>
      <c r="AA6" s="44"/>
      <c r="AB6" s="44"/>
      <c r="AC6" s="44"/>
      <c r="AD6" s="44"/>
      <c r="AE6" s="53">
        <f t="shared" si="4"/>
        <v>26</v>
      </c>
      <c r="AF6" s="46"/>
      <c r="AG6" s="44">
        <f t="shared" si="1"/>
        <v>77.1</v>
      </c>
      <c r="AH6" s="44"/>
      <c r="AI6" s="44"/>
      <c r="AJ6" s="44">
        <f t="shared" si="2"/>
        <v>225.2</v>
      </c>
      <c r="AK6" s="44"/>
      <c r="AL6" s="44">
        <f t="shared" si="3"/>
        <v>718.05</v>
      </c>
      <c r="AM6" s="60"/>
    </row>
    <row r="7" ht="14.25" customHeight="1">
      <c r="A7" s="48">
        <v>45753.0</v>
      </c>
      <c r="B7" s="51">
        <v>362.1</v>
      </c>
      <c r="C7" s="51">
        <v>7.0</v>
      </c>
      <c r="D7" s="51">
        <v>60.0</v>
      </c>
      <c r="E7" s="50"/>
      <c r="F7" s="51">
        <v>10.5</v>
      </c>
      <c r="G7" s="50"/>
      <c r="H7" s="50"/>
      <c r="I7" s="50"/>
      <c r="J7" s="50"/>
      <c r="K7" s="51">
        <v>2.4</v>
      </c>
      <c r="L7" s="50"/>
      <c r="M7" s="50"/>
      <c r="N7" s="50"/>
      <c r="O7" s="50"/>
      <c r="P7" s="50"/>
      <c r="Q7" s="50"/>
      <c r="R7" s="50"/>
      <c r="S7" s="50"/>
      <c r="T7" s="50"/>
      <c r="U7" s="50"/>
      <c r="V7" s="51">
        <v>23.0</v>
      </c>
      <c r="W7" s="51">
        <v>11.0</v>
      </c>
      <c r="X7" s="51">
        <v>5.0</v>
      </c>
      <c r="Y7" s="51">
        <v>5.0</v>
      </c>
      <c r="Z7" s="51">
        <v>1.0</v>
      </c>
      <c r="AA7" s="50"/>
      <c r="AB7" s="51">
        <v>1.0</v>
      </c>
      <c r="AC7" s="50"/>
      <c r="AD7" s="50"/>
      <c r="AE7" s="51">
        <f t="shared" si="4"/>
        <v>23</v>
      </c>
      <c r="AF7" s="52"/>
      <c r="AG7" s="50">
        <f t="shared" si="1"/>
        <v>79.9</v>
      </c>
      <c r="AH7" s="50">
        <f>sum(B2:B7)</f>
        <v>1485.2</v>
      </c>
      <c r="AI7" s="50">
        <f>sum(AG2:AG7)</f>
        <v>484.95</v>
      </c>
      <c r="AJ7" s="50">
        <f t="shared" si="2"/>
        <v>282.2</v>
      </c>
      <c r="AK7" s="50">
        <f>sum(AJ2:AJ7)</f>
        <v>1000.25</v>
      </c>
      <c r="AL7" s="50">
        <f t="shared" si="3"/>
        <v>1000.25</v>
      </c>
      <c r="AM7" s="61"/>
    </row>
    <row r="8" ht="14.25" customHeight="1">
      <c r="A8" s="47">
        <v>45754.0</v>
      </c>
      <c r="B8" s="53">
        <v>404.52</v>
      </c>
      <c r="C8" s="53">
        <v>7.0</v>
      </c>
      <c r="D8" s="53">
        <v>55.0</v>
      </c>
      <c r="E8" s="44"/>
      <c r="F8" s="53">
        <v>10.0</v>
      </c>
      <c r="G8" s="44"/>
      <c r="H8" s="44"/>
      <c r="I8" s="44"/>
      <c r="J8" s="44"/>
      <c r="K8" s="53">
        <v>8.0</v>
      </c>
      <c r="L8" s="44"/>
      <c r="M8" s="44"/>
      <c r="N8" s="53"/>
      <c r="O8" s="44"/>
      <c r="P8" s="44"/>
      <c r="Q8" s="44"/>
      <c r="R8" s="53">
        <v>350.0</v>
      </c>
      <c r="S8" s="44"/>
      <c r="T8" s="44"/>
      <c r="U8" s="44"/>
      <c r="V8" s="53">
        <v>35.0</v>
      </c>
      <c r="W8" s="53">
        <v>25.0</v>
      </c>
      <c r="X8" s="53">
        <v>7.0</v>
      </c>
      <c r="Y8" s="53">
        <v>2.0</v>
      </c>
      <c r="Z8" s="44"/>
      <c r="AA8" s="53">
        <v>1.0</v>
      </c>
      <c r="AB8" s="44"/>
      <c r="AC8" s="44"/>
      <c r="AD8" s="44"/>
      <c r="AE8" s="53">
        <f t="shared" si="4"/>
        <v>35</v>
      </c>
      <c r="AF8" s="54"/>
      <c r="AG8" s="44">
        <f t="shared" si="1"/>
        <v>430</v>
      </c>
      <c r="AH8" s="44"/>
      <c r="AI8" s="44"/>
      <c r="AJ8" s="44">
        <f t="shared" si="2"/>
        <v>-25.48</v>
      </c>
      <c r="AK8" s="44"/>
      <c r="AL8" s="44">
        <f t="shared" si="3"/>
        <v>974.77</v>
      </c>
      <c r="AM8" s="62">
        <v>650.0</v>
      </c>
    </row>
    <row r="9" ht="14.25" customHeight="1">
      <c r="A9" s="47">
        <v>45755.0</v>
      </c>
      <c r="B9" s="53">
        <v>302.4</v>
      </c>
      <c r="C9" s="53">
        <v>7.0</v>
      </c>
      <c r="D9" s="53">
        <v>60.0</v>
      </c>
      <c r="E9" s="44"/>
      <c r="F9" s="53">
        <v>10.5</v>
      </c>
      <c r="G9" s="53">
        <v>20.0</v>
      </c>
      <c r="H9" s="44"/>
      <c r="I9" s="53">
        <v>3.5</v>
      </c>
      <c r="J9" s="44"/>
      <c r="K9" s="44"/>
      <c r="L9" s="44"/>
      <c r="M9" s="44"/>
      <c r="O9" s="44"/>
      <c r="P9" s="44"/>
      <c r="Q9" s="44"/>
      <c r="R9" s="44"/>
      <c r="S9" s="53">
        <v>13.17</v>
      </c>
      <c r="T9" s="44"/>
      <c r="U9" s="44"/>
      <c r="V9" s="53">
        <v>30.0</v>
      </c>
      <c r="W9" s="53">
        <v>20.0</v>
      </c>
      <c r="X9" s="53">
        <v>9.0</v>
      </c>
      <c r="Y9" s="44"/>
      <c r="Z9" s="44"/>
      <c r="AA9" s="44"/>
      <c r="AB9" s="44"/>
      <c r="AC9" s="53">
        <v>1.0</v>
      </c>
      <c r="AD9" s="44"/>
      <c r="AE9" s="53">
        <f t="shared" si="4"/>
        <v>30</v>
      </c>
      <c r="AF9" s="46"/>
      <c r="AG9" s="44">
        <f t="shared" si="1"/>
        <v>114.17</v>
      </c>
      <c r="AH9" s="44"/>
      <c r="AI9" s="44"/>
      <c r="AJ9" s="44">
        <f t="shared" si="2"/>
        <v>188.23</v>
      </c>
      <c r="AK9" s="44"/>
      <c r="AL9" s="44">
        <f t="shared" si="3"/>
        <v>1163</v>
      </c>
      <c r="AM9" s="60"/>
    </row>
    <row r="10" ht="14.25" customHeight="1">
      <c r="A10" s="47">
        <v>45756.0</v>
      </c>
      <c r="B10" s="53">
        <v>304.9</v>
      </c>
      <c r="C10" s="53">
        <v>7.0</v>
      </c>
      <c r="D10" s="53">
        <v>60.0</v>
      </c>
      <c r="E10" s="44"/>
      <c r="F10" s="53">
        <v>13.9</v>
      </c>
      <c r="G10" s="44"/>
      <c r="H10" s="44"/>
      <c r="I10" s="44"/>
      <c r="J10" s="44"/>
      <c r="K10" s="53">
        <v>9.7</v>
      </c>
      <c r="L10" s="53"/>
      <c r="M10" s="44"/>
      <c r="N10" s="53"/>
      <c r="O10" s="44"/>
      <c r="P10" s="53">
        <v>15.0</v>
      </c>
      <c r="Q10" s="44"/>
      <c r="R10" s="44"/>
      <c r="S10" s="44"/>
      <c r="T10" s="44"/>
      <c r="U10" s="44"/>
      <c r="V10" s="53">
        <v>25.0</v>
      </c>
      <c r="W10" s="53">
        <v>18.0</v>
      </c>
      <c r="X10" s="53">
        <v>4.0</v>
      </c>
      <c r="Y10" s="53">
        <v>1.0</v>
      </c>
      <c r="Z10" s="53">
        <v>1.0</v>
      </c>
      <c r="AA10" s="44"/>
      <c r="AB10" s="44"/>
      <c r="AC10" s="53">
        <v>1.0</v>
      </c>
      <c r="AD10" s="44"/>
      <c r="AE10" s="53">
        <f t="shared" si="4"/>
        <v>25</v>
      </c>
      <c r="AF10" s="54"/>
      <c r="AG10" s="44">
        <f t="shared" si="1"/>
        <v>105.6</v>
      </c>
      <c r="AH10" s="44"/>
      <c r="AI10" s="44"/>
      <c r="AJ10" s="44">
        <f t="shared" si="2"/>
        <v>199.3</v>
      </c>
      <c r="AK10" s="44"/>
      <c r="AL10" s="44">
        <f t="shared" si="3"/>
        <v>1362.3</v>
      </c>
      <c r="AM10" s="60"/>
    </row>
    <row r="11" ht="14.25" customHeight="1">
      <c r="A11" s="47">
        <v>45757.0</v>
      </c>
      <c r="B11" s="53">
        <v>361.1</v>
      </c>
      <c r="C11" s="53">
        <v>7.0</v>
      </c>
      <c r="D11" s="53">
        <v>55.0</v>
      </c>
      <c r="E11" s="53">
        <v>60.0</v>
      </c>
      <c r="F11" s="53">
        <v>10.0</v>
      </c>
      <c r="G11" s="44"/>
      <c r="H11" s="44"/>
      <c r="I11" s="44">
        <f>3.2+0.66</f>
        <v>3.86</v>
      </c>
      <c r="J11" s="44"/>
      <c r="K11" s="44"/>
      <c r="L11" s="53"/>
      <c r="M11" s="44"/>
      <c r="N11" s="44"/>
      <c r="O11" s="44"/>
      <c r="P11" s="44"/>
      <c r="Q11" s="44"/>
      <c r="R11" s="44"/>
      <c r="S11" s="44"/>
      <c r="T11" s="44"/>
      <c r="U11" s="44"/>
      <c r="V11" s="53">
        <v>30.0</v>
      </c>
      <c r="W11" s="53">
        <v>14.0</v>
      </c>
      <c r="X11" s="53">
        <v>10.0</v>
      </c>
      <c r="Y11" s="53">
        <v>6.0</v>
      </c>
      <c r="Z11" s="44"/>
      <c r="AA11" s="44"/>
      <c r="AB11" s="44"/>
      <c r="AC11" s="44"/>
      <c r="AD11" s="44"/>
      <c r="AE11" s="53">
        <f t="shared" si="4"/>
        <v>30</v>
      </c>
      <c r="AF11" s="54"/>
      <c r="AG11" s="44">
        <f t="shared" si="1"/>
        <v>135.86</v>
      </c>
      <c r="AH11" s="44"/>
      <c r="AI11" s="44"/>
      <c r="AJ11" s="44">
        <f t="shared" si="2"/>
        <v>225.24</v>
      </c>
      <c r="AK11" s="44"/>
      <c r="AL11" s="44">
        <f t="shared" si="3"/>
        <v>1587.54</v>
      </c>
      <c r="AM11" s="60"/>
    </row>
    <row r="12" ht="14.25" customHeight="1">
      <c r="A12" s="47">
        <v>45758.0</v>
      </c>
      <c r="B12" s="53">
        <v>350.7</v>
      </c>
      <c r="C12" s="53">
        <v>7.0</v>
      </c>
      <c r="D12" s="53">
        <v>65.0</v>
      </c>
      <c r="E12" s="44"/>
      <c r="F12" s="53">
        <v>15.0</v>
      </c>
      <c r="G12" s="53">
        <v>12.0</v>
      </c>
      <c r="H12" s="44"/>
      <c r="I12" s="44"/>
      <c r="J12" s="44"/>
      <c r="K12" s="44"/>
      <c r="L12" s="53"/>
      <c r="M12" s="44"/>
      <c r="N12" s="44"/>
      <c r="O12" s="44"/>
      <c r="P12" s="44"/>
      <c r="Q12" s="44"/>
      <c r="R12" s="44"/>
      <c r="S12" s="44"/>
      <c r="T12" s="44"/>
      <c r="U12" s="44"/>
      <c r="V12" s="53">
        <v>22.0</v>
      </c>
      <c r="W12" s="53">
        <v>10.0</v>
      </c>
      <c r="X12" s="53">
        <v>7.0</v>
      </c>
      <c r="Y12" s="53">
        <v>2.0</v>
      </c>
      <c r="Z12" s="53">
        <v>1.0</v>
      </c>
      <c r="AA12" s="53">
        <v>1.0</v>
      </c>
      <c r="AB12" s="53">
        <v>1.0</v>
      </c>
      <c r="AC12" s="44"/>
      <c r="AD12" s="44"/>
      <c r="AE12" s="53">
        <f t="shared" si="4"/>
        <v>22</v>
      </c>
      <c r="AF12" s="46"/>
      <c r="AG12" s="44">
        <f t="shared" si="1"/>
        <v>99</v>
      </c>
      <c r="AH12" s="44"/>
      <c r="AI12" s="44"/>
      <c r="AJ12" s="44">
        <f t="shared" si="2"/>
        <v>251.7</v>
      </c>
      <c r="AK12" s="44"/>
      <c r="AL12" s="44">
        <f t="shared" si="3"/>
        <v>1839.24</v>
      </c>
      <c r="AM12" s="60"/>
    </row>
    <row r="13" ht="14.25" customHeight="1">
      <c r="A13" s="47">
        <v>45759.0</v>
      </c>
      <c r="B13" s="53">
        <v>319.8</v>
      </c>
      <c r="C13" s="53">
        <v>7.0</v>
      </c>
      <c r="D13" s="53">
        <v>70.0</v>
      </c>
      <c r="E13" s="44"/>
      <c r="F13" s="53">
        <v>12.5</v>
      </c>
      <c r="G13" s="53">
        <v>13.0</v>
      </c>
      <c r="H13" s="44"/>
      <c r="I13" s="53">
        <v>9.0</v>
      </c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53">
        <v>31.0</v>
      </c>
      <c r="W13" s="53">
        <v>20.0</v>
      </c>
      <c r="X13" s="53">
        <v>8.0</v>
      </c>
      <c r="Y13" s="53">
        <v>2.0</v>
      </c>
      <c r="Z13" s="44"/>
      <c r="AA13" s="53">
        <v>1.0</v>
      </c>
      <c r="AB13" s="44"/>
      <c r="AC13" s="44"/>
      <c r="AD13" s="44"/>
      <c r="AE13" s="53">
        <f t="shared" si="4"/>
        <v>31</v>
      </c>
      <c r="AF13" s="46"/>
      <c r="AG13" s="44">
        <f t="shared" si="1"/>
        <v>111.5</v>
      </c>
      <c r="AH13" s="44"/>
      <c r="AI13" s="44"/>
      <c r="AJ13" s="44">
        <f t="shared" si="2"/>
        <v>208.3</v>
      </c>
      <c r="AK13" s="44"/>
      <c r="AL13" s="44">
        <f t="shared" si="3"/>
        <v>2047.54</v>
      </c>
      <c r="AM13" s="60"/>
    </row>
    <row r="14" ht="14.25" customHeight="1">
      <c r="A14" s="48">
        <v>45760.0</v>
      </c>
      <c r="B14" s="51">
        <v>516.0</v>
      </c>
      <c r="C14" s="51">
        <v>7.0</v>
      </c>
      <c r="D14" s="51">
        <v>65.0</v>
      </c>
      <c r="E14" s="50"/>
      <c r="F14" s="51">
        <v>14.5</v>
      </c>
      <c r="G14" s="50"/>
      <c r="H14" s="50"/>
      <c r="I14" s="51">
        <v>8.53</v>
      </c>
      <c r="J14" s="50"/>
      <c r="K14" s="51">
        <f>4.1+7.3</f>
        <v>11.4</v>
      </c>
      <c r="L14" s="51"/>
      <c r="M14" s="50"/>
      <c r="N14" s="50"/>
      <c r="O14" s="50"/>
      <c r="P14" s="51">
        <v>10.0</v>
      </c>
      <c r="Q14" s="50"/>
      <c r="R14" s="50"/>
      <c r="S14" s="50"/>
      <c r="T14" s="50"/>
      <c r="U14" s="50"/>
      <c r="V14" s="51">
        <v>37.0</v>
      </c>
      <c r="W14" s="51">
        <v>16.0</v>
      </c>
      <c r="X14" s="51">
        <v>16.0</v>
      </c>
      <c r="Y14" s="51">
        <v>1.0</v>
      </c>
      <c r="Z14" s="51">
        <v>4.0</v>
      </c>
      <c r="AA14" s="50"/>
      <c r="AB14" s="50"/>
      <c r="AC14" s="50"/>
      <c r="AD14" s="50"/>
      <c r="AE14" s="51">
        <f t="shared" si="4"/>
        <v>37</v>
      </c>
      <c r="AF14" s="52"/>
      <c r="AG14" s="50">
        <f t="shared" si="1"/>
        <v>116.43</v>
      </c>
      <c r="AH14" s="50">
        <f>Sum(B8:B14)</f>
        <v>2559.42</v>
      </c>
      <c r="AI14" s="50">
        <f>sum(AG8:AG14)</f>
        <v>1112.56</v>
      </c>
      <c r="AJ14" s="50">
        <f t="shared" si="2"/>
        <v>399.57</v>
      </c>
      <c r="AK14" s="50">
        <f>sum(AJ8:AJ14)</f>
        <v>1446.86</v>
      </c>
      <c r="AL14" s="50">
        <f t="shared" si="3"/>
        <v>2447.11</v>
      </c>
      <c r="AM14" s="61"/>
    </row>
    <row r="15" ht="14.25" customHeight="1">
      <c r="A15" s="47">
        <v>45761.0</v>
      </c>
      <c r="B15" s="53">
        <v>407.2</v>
      </c>
      <c r="C15" s="53">
        <v>7.0</v>
      </c>
      <c r="D15" s="53">
        <v>50.0</v>
      </c>
      <c r="E15" s="44"/>
      <c r="F15" s="53">
        <v>15.5</v>
      </c>
      <c r="G15" s="44"/>
      <c r="H15" s="44"/>
      <c r="I15" s="53">
        <v>4.5</v>
      </c>
      <c r="J15" s="44"/>
      <c r="K15" s="44"/>
      <c r="L15" s="53"/>
      <c r="M15" s="44"/>
      <c r="N15" s="44"/>
      <c r="O15" s="44"/>
      <c r="P15" s="44"/>
      <c r="Q15" s="44"/>
      <c r="R15" s="44"/>
      <c r="S15" s="44"/>
      <c r="T15" s="44"/>
      <c r="U15" s="44"/>
      <c r="V15" s="53">
        <v>25.0</v>
      </c>
      <c r="W15" s="53">
        <v>10.0</v>
      </c>
      <c r="X15" s="53">
        <v>9.0</v>
      </c>
      <c r="Y15" s="53">
        <v>5.0</v>
      </c>
      <c r="Z15" s="44"/>
      <c r="AA15" s="44"/>
      <c r="AB15" s="44"/>
      <c r="AC15" s="44"/>
      <c r="AD15" s="53">
        <v>1.0</v>
      </c>
      <c r="AE15" s="53">
        <f t="shared" si="4"/>
        <v>25</v>
      </c>
      <c r="AF15" s="46"/>
      <c r="AG15" s="44">
        <f t="shared" si="1"/>
        <v>77</v>
      </c>
      <c r="AH15" s="44"/>
      <c r="AI15" s="44"/>
      <c r="AJ15" s="44">
        <f t="shared" si="2"/>
        <v>330.2</v>
      </c>
      <c r="AK15" s="44"/>
      <c r="AL15" s="44">
        <f t="shared" si="3"/>
        <v>2777.31</v>
      </c>
      <c r="AM15" s="62">
        <v>1470.0</v>
      </c>
    </row>
    <row r="16" ht="14.25" customHeight="1">
      <c r="A16" s="47">
        <v>45762.0</v>
      </c>
      <c r="B16" s="53">
        <v>308.1</v>
      </c>
      <c r="C16" s="53">
        <v>7.0</v>
      </c>
      <c r="D16" s="53">
        <v>60.0</v>
      </c>
      <c r="E16" s="44"/>
      <c r="F16" s="53">
        <v>11.0</v>
      </c>
      <c r="G16" s="53">
        <v>17.0</v>
      </c>
      <c r="H16" s="44"/>
      <c r="I16" s="44"/>
      <c r="J16" s="44"/>
      <c r="K16" s="53">
        <v>6.5</v>
      </c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53">
        <v>19.0</v>
      </c>
      <c r="W16" s="53">
        <v>10.0</v>
      </c>
      <c r="X16" s="53">
        <v>3.0</v>
      </c>
      <c r="Y16" s="53">
        <v>4.0</v>
      </c>
      <c r="Z16" s="53">
        <v>1.0</v>
      </c>
      <c r="AA16" s="44"/>
      <c r="AB16" s="44"/>
      <c r="AC16" s="44"/>
      <c r="AD16" s="53">
        <v>1.0</v>
      </c>
      <c r="AE16" s="53">
        <f t="shared" si="4"/>
        <v>19</v>
      </c>
      <c r="AF16" s="46"/>
      <c r="AG16" s="44">
        <f t="shared" si="1"/>
        <v>101.5</v>
      </c>
      <c r="AH16" s="44"/>
      <c r="AI16" s="44"/>
      <c r="AJ16" s="44">
        <f t="shared" si="2"/>
        <v>206.6</v>
      </c>
      <c r="AK16" s="44"/>
      <c r="AL16" s="44">
        <f t="shared" si="3"/>
        <v>2983.91</v>
      </c>
      <c r="AM16" s="60"/>
    </row>
    <row r="17" ht="14.25" customHeight="1">
      <c r="A17" s="47">
        <v>45763.0</v>
      </c>
      <c r="B17" s="53">
        <v>307.6</v>
      </c>
      <c r="C17" s="53">
        <v>7.0</v>
      </c>
      <c r="D17" s="53">
        <v>65.0</v>
      </c>
      <c r="E17" s="44"/>
      <c r="F17" s="53">
        <v>21.5</v>
      </c>
      <c r="G17" s="44"/>
      <c r="H17" s="44"/>
      <c r="I17" s="44"/>
      <c r="J17" s="44"/>
      <c r="K17" s="53">
        <v>8.4</v>
      </c>
      <c r="L17" s="53"/>
      <c r="M17" s="44"/>
      <c r="N17" s="44"/>
      <c r="O17" s="44"/>
      <c r="P17" s="44"/>
      <c r="Q17" s="44"/>
      <c r="R17" s="44"/>
      <c r="S17" s="44"/>
      <c r="T17" s="44"/>
      <c r="U17" s="44"/>
      <c r="V17" s="53">
        <v>19.0</v>
      </c>
      <c r="W17" s="53">
        <v>7.0</v>
      </c>
      <c r="X17" s="53">
        <v>7.0</v>
      </c>
      <c r="Y17" s="53">
        <v>3.0</v>
      </c>
      <c r="Z17" s="53">
        <v>1.0</v>
      </c>
      <c r="AA17" s="44"/>
      <c r="AB17" s="44"/>
      <c r="AC17" s="53">
        <v>1.0</v>
      </c>
      <c r="AD17" s="44"/>
      <c r="AE17" s="53">
        <f t="shared" si="4"/>
        <v>19</v>
      </c>
      <c r="AF17" s="46"/>
      <c r="AG17" s="44">
        <f t="shared" si="1"/>
        <v>101.9</v>
      </c>
      <c r="AH17" s="44"/>
      <c r="AI17" s="44"/>
      <c r="AJ17" s="44">
        <f t="shared" si="2"/>
        <v>205.7</v>
      </c>
      <c r="AK17" s="44"/>
      <c r="AL17" s="44">
        <f t="shared" si="3"/>
        <v>3189.61</v>
      </c>
      <c r="AM17" s="62">
        <v>440.0</v>
      </c>
    </row>
    <row r="18" ht="14.25" customHeight="1">
      <c r="A18" s="47">
        <v>45764.0</v>
      </c>
      <c r="B18" s="53">
        <v>300.1</v>
      </c>
      <c r="C18" s="53">
        <v>7.0</v>
      </c>
      <c r="D18" s="53">
        <v>55.0</v>
      </c>
      <c r="E18" s="44"/>
      <c r="F18" s="53">
        <v>8.5</v>
      </c>
      <c r="G18" s="53">
        <v>15.0</v>
      </c>
      <c r="H18" s="44"/>
      <c r="I18" s="53">
        <v>3.5</v>
      </c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53">
        <v>23.0</v>
      </c>
      <c r="W18" s="53">
        <v>13.0</v>
      </c>
      <c r="X18" s="53">
        <v>5.0</v>
      </c>
      <c r="Y18" s="53">
        <v>4.0</v>
      </c>
      <c r="Z18" s="44"/>
      <c r="AA18" s="53">
        <v>1.0</v>
      </c>
      <c r="AB18" s="44"/>
      <c r="AC18" s="44"/>
      <c r="AD18" s="44"/>
      <c r="AE18" s="53">
        <f t="shared" si="4"/>
        <v>23</v>
      </c>
      <c r="AF18" s="46"/>
      <c r="AG18" s="44">
        <f t="shared" si="1"/>
        <v>89</v>
      </c>
      <c r="AH18" s="44"/>
      <c r="AI18" s="44"/>
      <c r="AJ18" s="44">
        <f t="shared" si="2"/>
        <v>211.1</v>
      </c>
      <c r="AK18" s="44"/>
      <c r="AL18" s="44">
        <f t="shared" si="3"/>
        <v>3400.71</v>
      </c>
      <c r="AM18" s="60"/>
    </row>
    <row r="19" ht="14.25" customHeight="1">
      <c r="A19" s="47">
        <v>45765.0</v>
      </c>
      <c r="B19" s="53">
        <v>315.6</v>
      </c>
      <c r="C19" s="53">
        <v>7.0</v>
      </c>
      <c r="D19" s="53">
        <v>65.0</v>
      </c>
      <c r="E19" s="44"/>
      <c r="F19" s="53">
        <v>10.0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53">
        <v>19.0</v>
      </c>
      <c r="W19" s="53">
        <v>10.0</v>
      </c>
      <c r="X19" s="53">
        <v>4.0</v>
      </c>
      <c r="Y19" s="53">
        <v>4.0</v>
      </c>
      <c r="Z19" s="44"/>
      <c r="AA19" s="44"/>
      <c r="AB19" s="53">
        <v>1.0</v>
      </c>
      <c r="AC19" s="44"/>
      <c r="AD19" s="44"/>
      <c r="AE19" s="53">
        <f t="shared" si="4"/>
        <v>19</v>
      </c>
      <c r="AF19" s="46"/>
      <c r="AG19" s="44">
        <f t="shared" si="1"/>
        <v>82</v>
      </c>
      <c r="AH19" s="44"/>
      <c r="AI19" s="44"/>
      <c r="AJ19" s="44">
        <f t="shared" si="2"/>
        <v>233.6</v>
      </c>
      <c r="AK19" s="44"/>
      <c r="AL19" s="44">
        <f t="shared" si="3"/>
        <v>3634.31</v>
      </c>
      <c r="AM19" s="60"/>
    </row>
    <row r="20" ht="14.25" customHeight="1">
      <c r="A20" s="47">
        <v>45766.0</v>
      </c>
      <c r="B20" s="53">
        <v>402.1</v>
      </c>
      <c r="C20" s="53">
        <v>7.0</v>
      </c>
      <c r="D20" s="53">
        <v>55.0</v>
      </c>
      <c r="E20" s="53">
        <v>60.0</v>
      </c>
      <c r="F20" s="53">
        <v>12.0</v>
      </c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53">
        <v>11.0</v>
      </c>
      <c r="R20" s="44"/>
      <c r="S20" s="44"/>
      <c r="T20" s="44"/>
      <c r="U20" s="44"/>
      <c r="V20" s="53">
        <v>19.0</v>
      </c>
      <c r="W20" s="53">
        <v>7.0</v>
      </c>
      <c r="X20" s="53">
        <v>5.0</v>
      </c>
      <c r="Y20" s="53">
        <v>2.0</v>
      </c>
      <c r="Z20" s="53">
        <v>3.0</v>
      </c>
      <c r="AA20" s="53">
        <v>1.0</v>
      </c>
      <c r="AB20" s="44"/>
      <c r="AC20" s="44"/>
      <c r="AD20" s="53">
        <v>1.0</v>
      </c>
      <c r="AE20" s="53">
        <f t="shared" si="4"/>
        <v>19</v>
      </c>
      <c r="AF20" s="46"/>
      <c r="AG20" s="44">
        <f t="shared" si="1"/>
        <v>145</v>
      </c>
      <c r="AH20" s="44"/>
      <c r="AI20" s="44"/>
      <c r="AJ20" s="44">
        <f t="shared" si="2"/>
        <v>257.1</v>
      </c>
      <c r="AK20" s="44"/>
      <c r="AL20" s="44">
        <f t="shared" si="3"/>
        <v>3891.41</v>
      </c>
      <c r="AM20" s="60"/>
    </row>
    <row r="21" ht="14.25" customHeight="1">
      <c r="A21" s="48">
        <v>45767.0</v>
      </c>
      <c r="B21" s="51">
        <v>365.1</v>
      </c>
      <c r="C21" s="51">
        <v>7.0</v>
      </c>
      <c r="D21" s="51">
        <v>50.0</v>
      </c>
      <c r="E21" s="51"/>
      <c r="F21" s="51">
        <v>8.8</v>
      </c>
      <c r="G21" s="51">
        <v>13.0</v>
      </c>
      <c r="H21" s="50"/>
      <c r="I21" s="51">
        <v>3.2</v>
      </c>
      <c r="J21" s="50"/>
      <c r="K21" s="50"/>
      <c r="L21" s="50"/>
      <c r="M21" s="50"/>
      <c r="N21" s="51"/>
      <c r="O21" s="50"/>
      <c r="P21" s="50"/>
      <c r="Q21" s="50"/>
      <c r="R21" s="50"/>
      <c r="S21" s="50"/>
      <c r="T21" s="50"/>
      <c r="U21" s="50"/>
      <c r="V21" s="51">
        <v>23.0</v>
      </c>
      <c r="W21" s="51">
        <v>10.0</v>
      </c>
      <c r="X21" s="51">
        <v>7.0</v>
      </c>
      <c r="Y21" s="51">
        <v>2.0</v>
      </c>
      <c r="Z21" s="51">
        <v>2.0</v>
      </c>
      <c r="AA21" s="51">
        <v>1.0</v>
      </c>
      <c r="AB21" s="51">
        <v>1.0</v>
      </c>
      <c r="AC21" s="50"/>
      <c r="AD21" s="50"/>
      <c r="AE21" s="51">
        <f t="shared" si="4"/>
        <v>23</v>
      </c>
      <c r="AF21" s="55"/>
      <c r="AG21" s="50">
        <f t="shared" si="1"/>
        <v>82</v>
      </c>
      <c r="AH21" s="50">
        <f>Sum(B15:B21)</f>
        <v>2405.8</v>
      </c>
      <c r="AI21" s="50">
        <f>sum(AG15:AG21)</f>
        <v>678.4</v>
      </c>
      <c r="AJ21" s="50">
        <f t="shared" si="2"/>
        <v>283.1</v>
      </c>
      <c r="AK21" s="50">
        <f>sum(AJ15:AJ21)</f>
        <v>1727.4</v>
      </c>
      <c r="AL21" s="50">
        <f t="shared" si="3"/>
        <v>4174.51</v>
      </c>
      <c r="AM21" s="61"/>
    </row>
    <row r="22" ht="14.25" customHeight="1">
      <c r="A22" s="47">
        <v>45768.0</v>
      </c>
      <c r="B22" s="53">
        <v>313.6</v>
      </c>
      <c r="C22" s="53">
        <v>7.0</v>
      </c>
      <c r="D22" s="53">
        <v>65.0</v>
      </c>
      <c r="E22" s="44"/>
      <c r="F22" s="53">
        <v>5.6</v>
      </c>
      <c r="G22" s="53">
        <v>17.4</v>
      </c>
      <c r="H22" s="44"/>
      <c r="I22" s="44"/>
      <c r="J22" s="44"/>
      <c r="K22" s="53">
        <v>9.4</v>
      </c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53">
        <v>25.0</v>
      </c>
      <c r="W22" s="44"/>
      <c r="X22" s="44"/>
      <c r="Y22" s="44"/>
      <c r="Z22" s="44"/>
      <c r="AA22" s="44"/>
      <c r="AB22" s="44"/>
      <c r="AC22" s="44"/>
      <c r="AD22" s="44"/>
      <c r="AE22" s="53">
        <f t="shared" si="4"/>
        <v>0</v>
      </c>
      <c r="AF22" s="54" t="s">
        <v>79</v>
      </c>
      <c r="AG22" s="44">
        <f t="shared" si="1"/>
        <v>104.4</v>
      </c>
      <c r="AH22" s="44"/>
      <c r="AI22" s="44"/>
      <c r="AJ22" s="44">
        <f t="shared" si="2"/>
        <v>209.2</v>
      </c>
      <c r="AK22" s="44"/>
      <c r="AL22" s="44">
        <f t="shared" si="3"/>
        <v>4383.71</v>
      </c>
      <c r="AM22" s="60"/>
    </row>
    <row r="23" ht="14.25" customHeight="1">
      <c r="A23" s="47">
        <v>45769.0</v>
      </c>
      <c r="B23" s="53">
        <v>265.6</v>
      </c>
      <c r="C23" s="53">
        <v>7.0</v>
      </c>
      <c r="D23" s="53">
        <v>50.0</v>
      </c>
      <c r="E23" s="44"/>
      <c r="F23" s="53">
        <v>6.0</v>
      </c>
      <c r="G23" s="53">
        <v>11.5</v>
      </c>
      <c r="H23" s="44"/>
      <c r="I23" s="53">
        <v>4.0</v>
      </c>
      <c r="J23" s="44"/>
      <c r="K23" s="53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53">
        <v>27.0</v>
      </c>
      <c r="W23" s="44"/>
      <c r="X23" s="44"/>
      <c r="Y23" s="44"/>
      <c r="Z23" s="44"/>
      <c r="AA23" s="44"/>
      <c r="AB23" s="44"/>
      <c r="AC23" s="44"/>
      <c r="AD23" s="44"/>
      <c r="AE23" s="53">
        <f t="shared" si="4"/>
        <v>0</v>
      </c>
      <c r="AF23" s="46"/>
      <c r="AG23" s="44">
        <f t="shared" si="1"/>
        <v>78.5</v>
      </c>
      <c r="AH23" s="44"/>
      <c r="AI23" s="44"/>
      <c r="AJ23" s="44">
        <f t="shared" si="2"/>
        <v>187.1</v>
      </c>
      <c r="AK23" s="44"/>
      <c r="AL23" s="44">
        <f t="shared" si="3"/>
        <v>4570.81</v>
      </c>
      <c r="AM23" s="60"/>
    </row>
    <row r="24" ht="14.25" customHeight="1">
      <c r="A24" s="47">
        <v>45770.0</v>
      </c>
      <c r="B24" s="53">
        <v>203.0</v>
      </c>
      <c r="C24" s="53">
        <v>7.0</v>
      </c>
      <c r="D24" s="53">
        <v>60.0</v>
      </c>
      <c r="E24" s="44"/>
      <c r="F24" s="44"/>
      <c r="G24" s="53">
        <v>11.5</v>
      </c>
      <c r="H24" s="44"/>
      <c r="I24" s="53">
        <v>6.4</v>
      </c>
      <c r="J24" s="44"/>
      <c r="K24" s="53">
        <v>11.9</v>
      </c>
      <c r="L24" s="44"/>
      <c r="M24" s="44"/>
      <c r="N24" s="44"/>
      <c r="O24" s="53"/>
      <c r="P24" s="44"/>
      <c r="Q24" s="44"/>
      <c r="R24" s="44"/>
      <c r="S24" s="44"/>
      <c r="T24" s="44"/>
      <c r="U24" s="44"/>
      <c r="V24" s="53">
        <v>19.0</v>
      </c>
      <c r="W24" s="44"/>
      <c r="X24" s="44"/>
      <c r="Y24" s="44"/>
      <c r="Z24" s="44"/>
      <c r="AA24" s="44"/>
      <c r="AB24" s="44"/>
      <c r="AC24" s="44"/>
      <c r="AD24" s="44"/>
      <c r="AE24" s="53">
        <f t="shared" si="4"/>
        <v>0</v>
      </c>
      <c r="AF24" s="54"/>
      <c r="AG24" s="44">
        <f t="shared" si="1"/>
        <v>96.8</v>
      </c>
      <c r="AH24" s="44"/>
      <c r="AI24" s="44"/>
      <c r="AJ24" s="44">
        <f t="shared" si="2"/>
        <v>106.2</v>
      </c>
      <c r="AK24" s="44"/>
      <c r="AL24" s="44">
        <f t="shared" si="3"/>
        <v>4677.01</v>
      </c>
      <c r="AM24" s="62">
        <v>890.0</v>
      </c>
    </row>
    <row r="25" ht="14.25" customHeight="1">
      <c r="A25" s="47">
        <v>45771.0</v>
      </c>
      <c r="B25" s="53">
        <v>402.2</v>
      </c>
      <c r="C25" s="53">
        <v>7.0</v>
      </c>
      <c r="D25" s="53">
        <v>60.0</v>
      </c>
      <c r="E25" s="44"/>
      <c r="F25" s="53">
        <v>8.0</v>
      </c>
      <c r="G25" s="53">
        <v>11.0</v>
      </c>
      <c r="H25" s="44"/>
      <c r="I25" s="53">
        <f>2.5+4.2</f>
        <v>6.7</v>
      </c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53">
        <v>27.0</v>
      </c>
      <c r="W25" s="44"/>
      <c r="X25" s="44"/>
      <c r="Y25" s="44"/>
      <c r="Z25" s="44"/>
      <c r="AA25" s="44"/>
      <c r="AB25" s="44"/>
      <c r="AC25" s="44"/>
      <c r="AD25" s="44"/>
      <c r="AE25" s="53">
        <f t="shared" si="4"/>
        <v>0</v>
      </c>
      <c r="AF25" s="46"/>
      <c r="AG25" s="44">
        <f t="shared" si="1"/>
        <v>92.7</v>
      </c>
      <c r="AH25" s="44"/>
      <c r="AI25" s="44"/>
      <c r="AJ25" s="44">
        <f t="shared" si="2"/>
        <v>309.5</v>
      </c>
      <c r="AK25" s="44"/>
      <c r="AL25" s="44">
        <f t="shared" si="3"/>
        <v>4986.51</v>
      </c>
      <c r="AM25" s="60"/>
    </row>
    <row r="26" ht="14.25" customHeight="1">
      <c r="A26" s="47">
        <v>45772.0</v>
      </c>
      <c r="B26" s="53">
        <v>208.8</v>
      </c>
      <c r="C26" s="53">
        <v>7.0</v>
      </c>
      <c r="D26" s="53">
        <v>60.0</v>
      </c>
      <c r="E26" s="44"/>
      <c r="F26" s="44">
        <f>2.9+11.3</f>
        <v>14.2</v>
      </c>
      <c r="G26" s="44"/>
      <c r="H26" s="44"/>
      <c r="I26" s="53">
        <f>1+6.04</f>
        <v>7.04</v>
      </c>
      <c r="J26" s="44"/>
      <c r="K26" s="44"/>
      <c r="L26" s="53"/>
      <c r="M26" s="44"/>
      <c r="N26" s="44"/>
      <c r="O26" s="44"/>
      <c r="P26" s="44"/>
      <c r="Q26" s="44"/>
      <c r="R26" s="44"/>
      <c r="S26" s="44"/>
      <c r="T26" s="44"/>
      <c r="U26" s="44"/>
      <c r="V26" s="53">
        <v>15.0</v>
      </c>
      <c r="W26" s="44"/>
      <c r="X26" s="44"/>
      <c r="Y26" s="44"/>
      <c r="Z26" s="44"/>
      <c r="AA26" s="44"/>
      <c r="AB26" s="44"/>
      <c r="AC26" s="44"/>
      <c r="AD26" s="44"/>
      <c r="AE26" s="53">
        <f t="shared" si="4"/>
        <v>0</v>
      </c>
      <c r="AF26" s="54"/>
      <c r="AG26" s="44">
        <f t="shared" si="1"/>
        <v>88.24</v>
      </c>
      <c r="AH26" s="44"/>
      <c r="AI26" s="44"/>
      <c r="AJ26" s="44">
        <f t="shared" si="2"/>
        <v>120.56</v>
      </c>
      <c r="AK26" s="44"/>
      <c r="AL26" s="44">
        <f t="shared" si="3"/>
        <v>5107.07</v>
      </c>
      <c r="AM26" s="60"/>
    </row>
    <row r="27" ht="14.25" customHeight="1">
      <c r="A27" s="47">
        <v>45773.0</v>
      </c>
      <c r="B27" s="53">
        <v>223.6</v>
      </c>
      <c r="C27" s="44"/>
      <c r="D27" s="53">
        <v>60.0</v>
      </c>
      <c r="E27" s="44"/>
      <c r="F27" s="53">
        <v>8.0</v>
      </c>
      <c r="G27" s="53">
        <v>12.5</v>
      </c>
      <c r="H27" s="44"/>
      <c r="I27" s="53">
        <v>7.0</v>
      </c>
      <c r="J27" s="44"/>
      <c r="K27" s="44"/>
      <c r="L27" s="44"/>
      <c r="M27" s="44"/>
      <c r="N27" s="53">
        <v>10.0</v>
      </c>
      <c r="O27" s="44"/>
      <c r="P27" s="44"/>
      <c r="Q27" s="44"/>
      <c r="R27" s="44"/>
      <c r="S27" s="44"/>
      <c r="T27" s="44"/>
      <c r="U27" s="44"/>
      <c r="V27" s="53">
        <v>15.0</v>
      </c>
      <c r="W27" s="44"/>
      <c r="X27" s="44"/>
      <c r="Y27" s="44"/>
      <c r="Z27" s="44"/>
      <c r="AA27" s="44"/>
      <c r="AB27" s="44"/>
      <c r="AC27" s="44"/>
      <c r="AD27" s="44"/>
      <c r="AE27" s="53">
        <f t="shared" si="4"/>
        <v>0</v>
      </c>
      <c r="AF27" s="46"/>
      <c r="AG27" s="44">
        <f t="shared" si="1"/>
        <v>97.5</v>
      </c>
      <c r="AH27" s="44"/>
      <c r="AI27" s="44"/>
      <c r="AJ27" s="44">
        <f t="shared" si="2"/>
        <v>126.1</v>
      </c>
      <c r="AK27" s="44"/>
      <c r="AL27" s="44">
        <f t="shared" si="3"/>
        <v>5233.17</v>
      </c>
      <c r="AM27" s="60"/>
    </row>
    <row r="28" ht="14.25" customHeight="1">
      <c r="A28" s="48">
        <v>45774.0</v>
      </c>
      <c r="B28" s="51">
        <v>258.6</v>
      </c>
      <c r="C28" s="51">
        <v>7.0</v>
      </c>
      <c r="D28" s="51">
        <v>68.0</v>
      </c>
      <c r="E28" s="50"/>
      <c r="F28" s="51">
        <v>16.6</v>
      </c>
      <c r="G28" s="50"/>
      <c r="H28" s="50"/>
      <c r="I28" s="51">
        <v>9.0</v>
      </c>
      <c r="J28" s="50"/>
      <c r="K28" s="50"/>
      <c r="L28" s="50"/>
      <c r="M28" s="50"/>
      <c r="N28" s="51">
        <v>15.9</v>
      </c>
      <c r="O28" s="50"/>
      <c r="P28" s="50"/>
      <c r="Q28" s="50"/>
      <c r="R28" s="50"/>
      <c r="S28" s="50"/>
      <c r="T28" s="50"/>
      <c r="U28" s="50"/>
      <c r="V28" s="51">
        <v>20.0</v>
      </c>
      <c r="W28" s="50"/>
      <c r="X28" s="50"/>
      <c r="Y28" s="50"/>
      <c r="Z28" s="50"/>
      <c r="AA28" s="50"/>
      <c r="AB28" s="50"/>
      <c r="AC28" s="50"/>
      <c r="AD28" s="50"/>
      <c r="AE28" s="51">
        <f t="shared" si="4"/>
        <v>0</v>
      </c>
      <c r="AF28" s="52"/>
      <c r="AG28" s="50">
        <f t="shared" si="1"/>
        <v>116.5</v>
      </c>
      <c r="AH28" s="50">
        <f>Sum(B22:B28)</f>
        <v>1875.4</v>
      </c>
      <c r="AI28" s="50">
        <f>sum(AG22:AG28)</f>
        <v>674.64</v>
      </c>
      <c r="AJ28" s="50">
        <f t="shared" si="2"/>
        <v>142.1</v>
      </c>
      <c r="AK28" s="50">
        <f>sum(AJ22:AJ28)</f>
        <v>1200.76</v>
      </c>
      <c r="AL28" s="50">
        <f t="shared" si="3"/>
        <v>5375.27</v>
      </c>
      <c r="AM28" s="61"/>
    </row>
    <row r="29" ht="14.25" customHeight="1">
      <c r="A29" s="47">
        <v>45775.0</v>
      </c>
      <c r="B29" s="53">
        <v>404.4</v>
      </c>
      <c r="C29" s="53">
        <v>7.0</v>
      </c>
      <c r="D29" s="53">
        <v>55.0</v>
      </c>
      <c r="E29" s="53">
        <v>60.0</v>
      </c>
      <c r="F29" s="53">
        <v>18.0</v>
      </c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53">
        <v>25.0</v>
      </c>
      <c r="W29" s="44"/>
      <c r="X29" s="44"/>
      <c r="Y29" s="44"/>
      <c r="Z29" s="44"/>
      <c r="AA29" s="44"/>
      <c r="AB29" s="44"/>
      <c r="AC29" s="44"/>
      <c r="AD29" s="44"/>
      <c r="AE29" s="53">
        <f t="shared" si="4"/>
        <v>0</v>
      </c>
      <c r="AF29" s="46"/>
      <c r="AG29" s="44">
        <f t="shared" si="1"/>
        <v>140</v>
      </c>
      <c r="AH29" s="44"/>
      <c r="AI29" s="44"/>
      <c r="AJ29" s="44">
        <f t="shared" si="2"/>
        <v>264.4</v>
      </c>
      <c r="AK29" s="44"/>
      <c r="AL29" s="44">
        <f t="shared" si="3"/>
        <v>5639.67</v>
      </c>
      <c r="AM29" s="60"/>
    </row>
    <row r="30" ht="14.25" customHeight="1">
      <c r="A30" s="47">
        <v>45776.0</v>
      </c>
      <c r="B30" s="53">
        <v>207.0</v>
      </c>
      <c r="C30" s="53">
        <v>7.0</v>
      </c>
      <c r="D30" s="53">
        <v>70.0</v>
      </c>
      <c r="E30" s="44"/>
      <c r="F30" s="53">
        <v>12.0</v>
      </c>
      <c r="G30" s="44"/>
      <c r="H30" s="44"/>
      <c r="I30" s="53">
        <v>3.5</v>
      </c>
      <c r="J30" s="44"/>
      <c r="K30" s="53">
        <v>4.7</v>
      </c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53">
        <v>22.0</v>
      </c>
      <c r="W30" s="44"/>
      <c r="X30" s="44"/>
      <c r="Y30" s="44"/>
      <c r="Z30" s="44"/>
      <c r="AA30" s="44"/>
      <c r="AB30" s="44"/>
      <c r="AC30" s="44"/>
      <c r="AD30" s="44"/>
      <c r="AE30" s="53">
        <f t="shared" si="4"/>
        <v>0</v>
      </c>
      <c r="AF30" s="46"/>
      <c r="AG30" s="44">
        <f t="shared" si="1"/>
        <v>97.2</v>
      </c>
      <c r="AH30" s="44"/>
      <c r="AI30" s="44"/>
      <c r="AJ30" s="44">
        <f t="shared" si="2"/>
        <v>109.8</v>
      </c>
      <c r="AK30" s="44"/>
      <c r="AL30" s="44">
        <f t="shared" si="3"/>
        <v>5749.47</v>
      </c>
      <c r="AM30" s="60"/>
    </row>
    <row r="31" ht="14.25" customHeight="1">
      <c r="A31" s="47">
        <v>45777.0</v>
      </c>
      <c r="B31" s="53">
        <v>334.8</v>
      </c>
      <c r="C31" s="53">
        <v>7.0</v>
      </c>
      <c r="D31" s="53">
        <v>60.0</v>
      </c>
      <c r="E31" s="44"/>
      <c r="F31" s="53">
        <v>15.0</v>
      </c>
      <c r="G31" s="53">
        <v>7.4</v>
      </c>
      <c r="H31" s="44"/>
      <c r="I31" s="53">
        <v>3.5</v>
      </c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53">
        <v>23.0</v>
      </c>
      <c r="W31" s="44"/>
      <c r="X31" s="44"/>
      <c r="Y31" s="44"/>
      <c r="Z31" s="44"/>
      <c r="AA31" s="44"/>
      <c r="AB31" s="44"/>
      <c r="AC31" s="44"/>
      <c r="AD31" s="44"/>
      <c r="AE31" s="53">
        <f t="shared" si="4"/>
        <v>0</v>
      </c>
      <c r="AF31" s="46"/>
      <c r="AG31" s="44">
        <f t="shared" si="1"/>
        <v>92.9</v>
      </c>
      <c r="AH31" s="44">
        <f>sum(B29:B31)</f>
        <v>946.2</v>
      </c>
      <c r="AI31" s="44">
        <f>sum(AG29:AG31)</f>
        <v>330.1</v>
      </c>
      <c r="AJ31" s="44">
        <f t="shared" si="2"/>
        <v>241.9</v>
      </c>
      <c r="AK31" s="44">
        <f>sum(AJ29:AJ31)</f>
        <v>616.1</v>
      </c>
      <c r="AL31" s="44">
        <f t="shared" si="3"/>
        <v>5991.37</v>
      </c>
      <c r="AM31" s="60"/>
    </row>
    <row r="32" ht="14.25" customHeight="1">
      <c r="A32" s="63"/>
      <c r="B32" s="53"/>
      <c r="C32" s="44"/>
      <c r="D32" s="44"/>
      <c r="E32" s="44"/>
      <c r="F32" s="53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53"/>
      <c r="AF32" s="46"/>
      <c r="AG32" s="44"/>
      <c r="AH32" s="44"/>
      <c r="AI32" s="44"/>
      <c r="AJ32" s="44"/>
      <c r="AK32" s="44"/>
      <c r="AL32" s="44"/>
      <c r="AM32" s="60"/>
    </row>
    <row r="33" ht="14.25" customHeight="1">
      <c r="A33" s="6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6"/>
      <c r="AG33" s="44"/>
      <c r="AH33" s="44"/>
      <c r="AI33" s="44"/>
      <c r="AJ33" s="44"/>
      <c r="AK33" s="44"/>
      <c r="AL33" s="44"/>
      <c r="AM33" s="60"/>
    </row>
    <row r="34" ht="14.25" customHeight="1">
      <c r="A34" s="63" t="str">
        <f>count(B2:B31,"number")&amp;" "&amp;"/"&amp;" "&amp;countif(B2:B31,"")</f>
        <v>28 / 2</v>
      </c>
      <c r="B34" s="44">
        <f t="shared" ref="B34:U34" si="5">SUM(B2:B33)</f>
        <v>9272.02</v>
      </c>
      <c r="C34" s="44">
        <f t="shared" si="5"/>
        <v>196</v>
      </c>
      <c r="D34" s="44">
        <f t="shared" si="5"/>
        <v>1713</v>
      </c>
      <c r="E34" s="44">
        <f t="shared" si="5"/>
        <v>280</v>
      </c>
      <c r="F34" s="44">
        <f t="shared" si="5"/>
        <v>325.9</v>
      </c>
      <c r="G34" s="44">
        <f t="shared" si="5"/>
        <v>161.3</v>
      </c>
      <c r="H34" s="44">
        <f t="shared" si="5"/>
        <v>0</v>
      </c>
      <c r="I34" s="44">
        <f t="shared" si="5"/>
        <v>84.58</v>
      </c>
      <c r="J34" s="44">
        <f t="shared" si="5"/>
        <v>0</v>
      </c>
      <c r="K34" s="44">
        <f t="shared" si="5"/>
        <v>86.4</v>
      </c>
      <c r="L34" s="44">
        <f t="shared" si="5"/>
        <v>5.7</v>
      </c>
      <c r="M34" s="44">
        <f t="shared" si="5"/>
        <v>0</v>
      </c>
      <c r="N34" s="44">
        <f t="shared" si="5"/>
        <v>25.9</v>
      </c>
      <c r="O34" s="44">
        <f t="shared" si="5"/>
        <v>2.7</v>
      </c>
      <c r="P34" s="44">
        <f t="shared" si="5"/>
        <v>25</v>
      </c>
      <c r="Q34" s="44">
        <f t="shared" si="5"/>
        <v>11</v>
      </c>
      <c r="R34" s="44">
        <f t="shared" si="5"/>
        <v>350</v>
      </c>
      <c r="S34" s="44">
        <f t="shared" si="5"/>
        <v>13.17</v>
      </c>
      <c r="T34" s="44">
        <f t="shared" si="5"/>
        <v>0</v>
      </c>
      <c r="U34" s="44">
        <f t="shared" si="5"/>
        <v>0</v>
      </c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6"/>
      <c r="AG34" s="44">
        <f>SUM(AG2:AG33)</f>
        <v>3280.65</v>
      </c>
      <c r="AH34" s="44"/>
      <c r="AI34" s="44"/>
      <c r="AJ34" s="44"/>
      <c r="AK34" s="44"/>
      <c r="AL34" s="44"/>
      <c r="AM34" s="60"/>
    </row>
    <row r="35" ht="14.25" customHeight="1">
      <c r="A35" s="57" t="s">
        <v>62</v>
      </c>
      <c r="B35" s="65">
        <f>B34-(C34+D34+E34+F34+G34+H34+I34+J34+K34+L34+M34+N34+O34+P34+Q34+R34+S34+T34+U34)</f>
        <v>5991.37</v>
      </c>
      <c r="C35" s="44"/>
      <c r="D35" s="44">
        <f>D34+E34</f>
        <v>1993</v>
      </c>
      <c r="F35" s="44">
        <f>G34+F34</f>
        <v>487.2</v>
      </c>
      <c r="H35" s="44"/>
      <c r="I35" s="44"/>
      <c r="J35" s="66" t="s">
        <v>80</v>
      </c>
      <c r="K35" s="67" t="s">
        <v>81</v>
      </c>
      <c r="L35" s="68" t="s">
        <v>82</v>
      </c>
      <c r="M35" s="69" t="s">
        <v>83</v>
      </c>
      <c r="N35" s="70" t="s">
        <v>84</v>
      </c>
      <c r="O35" s="71" t="s">
        <v>85</v>
      </c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6" t="s">
        <v>63</v>
      </c>
      <c r="AG35" s="46"/>
      <c r="AH35" s="46"/>
      <c r="AI35" s="46"/>
      <c r="AJ35" s="46"/>
      <c r="AK35" s="59">
        <f>B35/B34</f>
        <v>0.6461774241</v>
      </c>
      <c r="AL35" s="59"/>
      <c r="AM35" s="60"/>
    </row>
  </sheetData>
  <mergeCells count="4">
    <mergeCell ref="D1:E1"/>
    <mergeCell ref="F1:G1"/>
    <mergeCell ref="D35:E35"/>
    <mergeCell ref="F35:G35"/>
  </mergeCells>
  <conditionalFormatting sqref="AL2:AL32">
    <cfRule type="cellIs" dxfId="2" priority="1" operator="lessThan">
      <formula>1000</formula>
    </cfRule>
  </conditionalFormatting>
  <conditionalFormatting sqref="AL2:AL32">
    <cfRule type="cellIs" dxfId="3" priority="2" operator="lessThan">
      <formula>2000</formula>
    </cfRule>
  </conditionalFormatting>
  <conditionalFormatting sqref="AL2:AL32">
    <cfRule type="cellIs" dxfId="4" priority="3" operator="lessThan">
      <formula>3000</formula>
    </cfRule>
  </conditionalFormatting>
  <conditionalFormatting sqref="AL2:AL32">
    <cfRule type="cellIs" dxfId="5" priority="4" operator="lessThan">
      <formula>4000</formula>
    </cfRule>
  </conditionalFormatting>
  <conditionalFormatting sqref="AL2:AL32">
    <cfRule type="cellIs" dxfId="6" priority="5" operator="lessThan">
      <formula>5000</formula>
    </cfRule>
  </conditionalFormatting>
  <conditionalFormatting sqref="AL2:AL32">
    <cfRule type="cellIs" dxfId="7" priority="6" operator="lessThan">
      <formula>6000</formula>
    </cfRule>
  </conditionalFormatting>
  <conditionalFormatting sqref="AL2:AL32">
    <cfRule type="cellIs" dxfId="8" priority="7" operator="greaterThan">
      <formula>6000</formula>
    </cfRule>
  </conditionalFormatting>
  <conditionalFormatting sqref="B2:B31">
    <cfRule type="cellIs" dxfId="9" priority="8" operator="between">
      <formula>0</formula>
      <formula>99.99</formula>
    </cfRule>
  </conditionalFormatting>
  <conditionalFormatting sqref="B2:B31">
    <cfRule type="cellIs" dxfId="3" priority="9" operator="between">
      <formula>100</formula>
      <formula>199.99</formula>
    </cfRule>
  </conditionalFormatting>
  <conditionalFormatting sqref="B2:B31">
    <cfRule type="cellIs" dxfId="10" priority="10" operator="between">
      <formula>200</formula>
      <formula>299.99</formula>
    </cfRule>
  </conditionalFormatting>
  <conditionalFormatting sqref="B2:B31">
    <cfRule type="cellIs" dxfId="5" priority="11" operator="between">
      <formula>300</formula>
      <formula>399.99</formula>
    </cfRule>
  </conditionalFormatting>
  <conditionalFormatting sqref="B2:B31">
    <cfRule type="cellIs" dxfId="6" priority="12" operator="between">
      <formula>400</formula>
      <formula>499.99</formula>
    </cfRule>
  </conditionalFormatting>
  <conditionalFormatting sqref="B2:B31">
    <cfRule type="cellIs" dxfId="7" priority="13" operator="greaterThan">
      <formula>500</formula>
    </cfRule>
  </conditionalFormatting>
  <conditionalFormatting sqref="AJ2:AJ31">
    <cfRule type="cellIs" dxfId="1" priority="14" operator="lessThan">
      <formula>0</formula>
    </cfRule>
  </conditionalFormatting>
  <conditionalFormatting sqref="AJ2:AJ31">
    <cfRule type="cellIs" dxfId="0" priority="15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88"/>
    <col customWidth="1" min="2" max="2" width="10.75"/>
    <col customWidth="1" min="3" max="3" width="8.63"/>
    <col customWidth="1" min="4" max="5" width="8.25"/>
    <col customWidth="1" min="6" max="7" width="8.0"/>
    <col customWidth="1" min="8" max="9" width="7.63"/>
    <col customWidth="1" min="10" max="14" width="9.75"/>
    <col customWidth="1" min="15" max="21" width="7.63"/>
    <col customWidth="1" min="22" max="23" width="14.38"/>
    <col customWidth="1" min="24" max="24" width="9.38"/>
    <col customWidth="1" min="25" max="25" width="11.5"/>
    <col customWidth="1" min="26" max="30" width="9.38"/>
  </cols>
  <sheetData>
    <row r="1" ht="14.25" customHeight="1">
      <c r="A1" s="44" t="s">
        <v>53</v>
      </c>
      <c r="B1" s="45" t="s">
        <v>1</v>
      </c>
      <c r="C1" s="44" t="s">
        <v>16</v>
      </c>
      <c r="D1" s="44" t="s">
        <v>17</v>
      </c>
      <c r="F1" s="44" t="s">
        <v>18</v>
      </c>
      <c r="H1" s="44" t="s">
        <v>19</v>
      </c>
      <c r="I1" s="44" t="s">
        <v>20</v>
      </c>
      <c r="J1" s="44" t="s">
        <v>21</v>
      </c>
      <c r="K1" s="44" t="s">
        <v>22</v>
      </c>
      <c r="L1" s="44" t="s">
        <v>23</v>
      </c>
      <c r="M1" s="44" t="s">
        <v>24</v>
      </c>
      <c r="N1" s="44" t="s">
        <v>25</v>
      </c>
      <c r="O1" s="44" t="s">
        <v>26</v>
      </c>
      <c r="P1" s="44" t="s">
        <v>27</v>
      </c>
      <c r="Q1" s="44" t="s">
        <v>28</v>
      </c>
      <c r="R1" s="44" t="s">
        <v>29</v>
      </c>
      <c r="S1" s="44" t="s">
        <v>32</v>
      </c>
      <c r="T1" s="44" t="s">
        <v>34</v>
      </c>
      <c r="U1" s="44" t="s">
        <v>36</v>
      </c>
      <c r="V1" s="53" t="s">
        <v>40</v>
      </c>
      <c r="W1" s="46" t="s">
        <v>54</v>
      </c>
      <c r="X1" s="44" t="s">
        <v>2</v>
      </c>
      <c r="Y1" s="44" t="s">
        <v>55</v>
      </c>
      <c r="Z1" s="44" t="s">
        <v>56</v>
      </c>
      <c r="AA1" s="44" t="s">
        <v>57</v>
      </c>
      <c r="AB1" s="44" t="s">
        <v>58</v>
      </c>
      <c r="AC1" s="53" t="s">
        <v>78</v>
      </c>
      <c r="AD1" s="60" t="s">
        <v>46</v>
      </c>
    </row>
    <row r="2" ht="14.25" customHeight="1">
      <c r="A2" s="47">
        <v>45778.0</v>
      </c>
      <c r="B2" s="56">
        <v>307.2</v>
      </c>
      <c r="C2" s="53">
        <v>7.0</v>
      </c>
      <c r="D2" s="53">
        <v>65.0</v>
      </c>
      <c r="E2" s="44"/>
      <c r="F2" s="53">
        <v>12.0</v>
      </c>
      <c r="G2" s="53">
        <v>17.0</v>
      </c>
      <c r="H2" s="44"/>
      <c r="I2" s="53">
        <f>1.66+4.6</f>
        <v>6.26</v>
      </c>
      <c r="J2" s="44"/>
      <c r="K2" s="44"/>
      <c r="L2" s="44"/>
      <c r="M2" s="44"/>
      <c r="N2" s="44"/>
      <c r="O2" s="44"/>
      <c r="P2" s="44"/>
      <c r="Q2" s="53">
        <v>11.0</v>
      </c>
      <c r="R2" s="53">
        <v>350.0</v>
      </c>
      <c r="S2" s="44"/>
      <c r="T2" s="44"/>
      <c r="U2" s="44"/>
      <c r="V2" s="53">
        <v>23.0</v>
      </c>
      <c r="W2" s="54" t="s">
        <v>86</v>
      </c>
      <c r="X2" s="44">
        <f t="shared" ref="X2:X32" si="1">sum(C2:U2)</f>
        <v>468.26</v>
      </c>
      <c r="Y2" s="44"/>
      <c r="Z2" s="44"/>
      <c r="AA2" s="44">
        <f t="shared" ref="AA2:AA32" si="2">B2-X2</f>
        <v>-161.06</v>
      </c>
      <c r="AB2" s="44"/>
      <c r="AC2" s="44">
        <f>AA2</f>
        <v>-161.06</v>
      </c>
      <c r="AD2" s="60"/>
    </row>
    <row r="3" ht="14.25" customHeight="1">
      <c r="A3" s="47">
        <v>45779.0</v>
      </c>
      <c r="B3" s="56">
        <v>304.4</v>
      </c>
      <c r="C3" s="53">
        <v>7.0</v>
      </c>
      <c r="D3" s="53">
        <v>65.0</v>
      </c>
      <c r="E3" s="53"/>
      <c r="F3" s="53">
        <v>7.7</v>
      </c>
      <c r="G3" s="53">
        <v>10.0</v>
      </c>
      <c r="H3" s="44"/>
      <c r="I3" s="44"/>
      <c r="J3" s="44"/>
      <c r="K3" s="53">
        <f>8.4+13.2</f>
        <v>21.6</v>
      </c>
      <c r="L3" s="44"/>
      <c r="M3" s="44"/>
      <c r="N3" s="44"/>
      <c r="O3" s="44"/>
      <c r="P3" s="44"/>
      <c r="Q3" s="44"/>
      <c r="R3" s="44"/>
      <c r="S3" s="44"/>
      <c r="T3" s="44"/>
      <c r="U3" s="44"/>
      <c r="V3" s="53">
        <v>25.0</v>
      </c>
      <c r="W3" s="46"/>
      <c r="X3" s="44">
        <f t="shared" si="1"/>
        <v>111.3</v>
      </c>
      <c r="Y3" s="44"/>
      <c r="Z3" s="44"/>
      <c r="AA3" s="44">
        <f t="shared" si="2"/>
        <v>193.1</v>
      </c>
      <c r="AB3" s="44"/>
      <c r="AC3" s="44">
        <f t="shared" ref="AC3:AC32" si="3">AC2+AA3</f>
        <v>32.04</v>
      </c>
      <c r="AD3" s="62">
        <v>1230.0</v>
      </c>
    </row>
    <row r="4" ht="14.25" customHeight="1">
      <c r="A4" s="47">
        <v>45780.0</v>
      </c>
      <c r="B4" s="56">
        <v>341.2</v>
      </c>
      <c r="C4" s="53">
        <v>7.0</v>
      </c>
      <c r="D4" s="53">
        <v>60.0</v>
      </c>
      <c r="E4" s="44"/>
      <c r="F4" s="53">
        <v>11.5</v>
      </c>
      <c r="G4" s="44"/>
      <c r="H4" s="53"/>
      <c r="I4" s="53">
        <v>7.46</v>
      </c>
      <c r="J4" s="53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3">
        <v>25.0</v>
      </c>
      <c r="W4" s="46"/>
      <c r="X4" s="44">
        <f t="shared" si="1"/>
        <v>85.96</v>
      </c>
      <c r="Y4" s="44"/>
      <c r="Z4" s="44"/>
      <c r="AA4" s="44">
        <f t="shared" si="2"/>
        <v>255.24</v>
      </c>
      <c r="AB4" s="44"/>
      <c r="AC4" s="44">
        <f t="shared" si="3"/>
        <v>287.28</v>
      </c>
      <c r="AD4" s="60"/>
    </row>
    <row r="5" ht="14.25" customHeight="1">
      <c r="A5" s="48">
        <v>45781.0</v>
      </c>
      <c r="B5" s="72">
        <v>307.2</v>
      </c>
      <c r="C5" s="51">
        <v>7.0</v>
      </c>
      <c r="D5" s="51">
        <v>55.0</v>
      </c>
      <c r="E5" s="50"/>
      <c r="F5" s="51">
        <v>8.5</v>
      </c>
      <c r="G5" s="51">
        <v>10.0</v>
      </c>
      <c r="H5" s="50"/>
      <c r="I5" s="51">
        <v>6.0</v>
      </c>
      <c r="J5" s="50"/>
      <c r="K5" s="50"/>
      <c r="L5" s="50"/>
      <c r="M5" s="50"/>
      <c r="N5" s="51">
        <v>30.0</v>
      </c>
      <c r="O5" s="50"/>
      <c r="P5" s="50"/>
      <c r="Q5" s="50"/>
      <c r="R5" s="51"/>
      <c r="S5" s="50"/>
      <c r="T5" s="50"/>
      <c r="U5" s="73"/>
      <c r="V5" s="51">
        <v>22.0</v>
      </c>
      <c r="W5" s="55" t="s">
        <v>87</v>
      </c>
      <c r="X5" s="50">
        <f t="shared" si="1"/>
        <v>116.5</v>
      </c>
      <c r="Y5" s="50">
        <f>sum(B2:B5)+April!AH31</f>
        <v>2206.2</v>
      </c>
      <c r="Z5" s="50">
        <f>sum(X2:X5)+April!AI31</f>
        <v>1112.12</v>
      </c>
      <c r="AA5" s="50">
        <f t="shared" si="2"/>
        <v>190.7</v>
      </c>
      <c r="AB5" s="50">
        <f>Y5-Z5+April!AK31</f>
        <v>1710.18</v>
      </c>
      <c r="AC5" s="50">
        <f t="shared" si="3"/>
        <v>477.98</v>
      </c>
      <c r="AD5" s="60"/>
    </row>
    <row r="6" ht="14.25" customHeight="1">
      <c r="A6" s="47">
        <v>45782.0</v>
      </c>
      <c r="B6" s="56">
        <v>300.0</v>
      </c>
      <c r="C6" s="53">
        <v>7.0</v>
      </c>
      <c r="D6" s="53">
        <v>60.0</v>
      </c>
      <c r="E6" s="44"/>
      <c r="F6" s="53">
        <v>4.0</v>
      </c>
      <c r="G6" s="53">
        <v>14.0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53">
        <f>21+18</f>
        <v>39</v>
      </c>
      <c r="V6" s="53">
        <v>21.0</v>
      </c>
      <c r="W6" s="54" t="s">
        <v>88</v>
      </c>
      <c r="X6" s="44">
        <f t="shared" si="1"/>
        <v>124</v>
      </c>
      <c r="Y6" s="44"/>
      <c r="Z6" s="44"/>
      <c r="AA6" s="44">
        <f t="shared" si="2"/>
        <v>176</v>
      </c>
      <c r="AB6" s="44"/>
      <c r="AC6" s="44">
        <f t="shared" si="3"/>
        <v>653.98</v>
      </c>
      <c r="AD6" s="60"/>
    </row>
    <row r="7" ht="14.25" customHeight="1">
      <c r="A7" s="47">
        <v>45783.0</v>
      </c>
      <c r="B7" s="56">
        <v>305.2</v>
      </c>
      <c r="C7" s="53">
        <v>7.0</v>
      </c>
      <c r="D7" s="53">
        <v>50.0</v>
      </c>
      <c r="E7" s="44"/>
      <c r="F7" s="53">
        <v>12.0</v>
      </c>
      <c r="G7" s="53">
        <v>9.0</v>
      </c>
      <c r="H7" s="44"/>
      <c r="I7" s="53">
        <v>3.5</v>
      </c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3">
        <v>26.0</v>
      </c>
      <c r="W7" s="46"/>
      <c r="X7" s="44">
        <f t="shared" si="1"/>
        <v>81.5</v>
      </c>
      <c r="Y7" s="44"/>
      <c r="Z7" s="44"/>
      <c r="AA7" s="44">
        <f t="shared" si="2"/>
        <v>223.7</v>
      </c>
      <c r="AB7" s="44"/>
      <c r="AC7" s="44">
        <f t="shared" si="3"/>
        <v>877.68</v>
      </c>
      <c r="AD7" s="60"/>
    </row>
    <row r="8" ht="14.25" customHeight="1">
      <c r="A8" s="47">
        <v>45784.0</v>
      </c>
      <c r="B8" s="56">
        <v>207.6</v>
      </c>
      <c r="C8" s="53">
        <v>7.0</v>
      </c>
      <c r="D8" s="53">
        <v>70.0</v>
      </c>
      <c r="E8" s="44"/>
      <c r="F8" s="53">
        <v>11.6</v>
      </c>
      <c r="G8" s="53">
        <v>13.6</v>
      </c>
      <c r="H8" s="44"/>
      <c r="I8" s="44"/>
      <c r="J8" s="44"/>
      <c r="K8" s="44"/>
      <c r="L8" s="44"/>
      <c r="M8" s="44"/>
      <c r="N8" s="53"/>
      <c r="O8" s="44"/>
      <c r="P8" s="44"/>
      <c r="Q8" s="44"/>
      <c r="R8" s="44"/>
      <c r="S8" s="44"/>
      <c r="T8" s="44"/>
      <c r="U8" s="44"/>
      <c r="V8" s="53">
        <v>20.0</v>
      </c>
      <c r="W8" s="54"/>
      <c r="X8" s="44">
        <f t="shared" si="1"/>
        <v>102.2</v>
      </c>
      <c r="Y8" s="44"/>
      <c r="Z8" s="44"/>
      <c r="AA8" s="44">
        <f t="shared" si="2"/>
        <v>105.4</v>
      </c>
      <c r="AB8" s="44"/>
      <c r="AC8" s="44">
        <f t="shared" si="3"/>
        <v>983.08</v>
      </c>
      <c r="AD8" s="60"/>
    </row>
    <row r="9" ht="14.25" customHeight="1">
      <c r="A9" s="47">
        <v>45785.0</v>
      </c>
      <c r="B9" s="56">
        <v>401.4</v>
      </c>
      <c r="C9" s="53">
        <v>7.0</v>
      </c>
      <c r="D9" s="53">
        <v>50.0</v>
      </c>
      <c r="E9" s="53">
        <v>66.0</v>
      </c>
      <c r="F9" s="53">
        <v>13.3</v>
      </c>
      <c r="G9" s="44"/>
      <c r="H9" s="44"/>
      <c r="I9" s="53">
        <v>7.46</v>
      </c>
      <c r="J9" s="44"/>
      <c r="K9" s="44"/>
      <c r="L9" s="44"/>
      <c r="M9" s="44"/>
      <c r="O9" s="44"/>
      <c r="P9" s="53">
        <v>5.0</v>
      </c>
      <c r="Q9" s="44"/>
      <c r="R9" s="44"/>
      <c r="S9" s="44"/>
      <c r="T9" s="44"/>
      <c r="U9" s="44"/>
      <c r="V9" s="53">
        <v>29.0</v>
      </c>
      <c r="W9" s="46"/>
      <c r="X9" s="44">
        <f t="shared" si="1"/>
        <v>148.76</v>
      </c>
      <c r="Y9" s="44"/>
      <c r="Z9" s="44"/>
      <c r="AA9" s="44">
        <f t="shared" si="2"/>
        <v>252.64</v>
      </c>
      <c r="AB9" s="44"/>
      <c r="AC9" s="44">
        <f t="shared" si="3"/>
        <v>1235.72</v>
      </c>
      <c r="AD9" s="60"/>
    </row>
    <row r="10" ht="14.25" customHeight="1">
      <c r="A10" s="47">
        <v>45786.0</v>
      </c>
      <c r="B10" s="56">
        <v>274.0</v>
      </c>
      <c r="C10" s="53">
        <v>7.0</v>
      </c>
      <c r="D10" s="53">
        <v>55.0</v>
      </c>
      <c r="E10" s="44"/>
      <c r="F10" s="53">
        <v>14.0</v>
      </c>
      <c r="G10" s="53">
        <v>11.0</v>
      </c>
      <c r="H10" s="53">
        <v>220.0</v>
      </c>
      <c r="I10" s="53">
        <v>3.43</v>
      </c>
      <c r="J10" s="44"/>
      <c r="K10" s="44"/>
      <c r="L10" s="53"/>
      <c r="M10" s="44"/>
      <c r="N10" s="44"/>
      <c r="O10" s="44"/>
      <c r="P10" s="44"/>
      <c r="Q10" s="44"/>
      <c r="R10" s="44"/>
      <c r="S10" s="44"/>
      <c r="T10" s="44"/>
      <c r="U10" s="44"/>
      <c r="V10" s="53">
        <v>24.0</v>
      </c>
      <c r="W10" s="54">
        <v>15895.5</v>
      </c>
      <c r="X10" s="44">
        <f t="shared" si="1"/>
        <v>310.43</v>
      </c>
      <c r="Y10" s="44"/>
      <c r="Z10" s="44"/>
      <c r="AA10" s="44">
        <f t="shared" si="2"/>
        <v>-36.43</v>
      </c>
      <c r="AB10" s="44"/>
      <c r="AC10" s="44">
        <f t="shared" si="3"/>
        <v>1199.29</v>
      </c>
      <c r="AD10" s="60"/>
    </row>
    <row r="11" ht="14.25" customHeight="1">
      <c r="A11" s="47">
        <v>45787.0</v>
      </c>
      <c r="B11" s="56">
        <v>216.8</v>
      </c>
      <c r="C11" s="53">
        <v>7.0</v>
      </c>
      <c r="D11" s="53">
        <v>55.0</v>
      </c>
      <c r="E11" s="44"/>
      <c r="F11" s="53">
        <v>10.5</v>
      </c>
      <c r="G11" s="44"/>
      <c r="H11" s="44"/>
      <c r="I11" s="53">
        <v>10.0</v>
      </c>
      <c r="J11" s="44"/>
      <c r="K11" s="44"/>
      <c r="L11" s="53"/>
      <c r="M11" s="44"/>
      <c r="N11" s="44"/>
      <c r="O11" s="44"/>
      <c r="P11" s="44"/>
      <c r="Q11" s="44"/>
      <c r="R11" s="44"/>
      <c r="S11" s="44"/>
      <c r="T11" s="44"/>
      <c r="U11" s="44"/>
      <c r="V11" s="53">
        <v>15.0</v>
      </c>
      <c r="W11" s="54"/>
      <c r="X11" s="44">
        <f t="shared" si="1"/>
        <v>82.5</v>
      </c>
      <c r="Y11" s="44"/>
      <c r="Z11" s="44"/>
      <c r="AA11" s="44">
        <f t="shared" si="2"/>
        <v>134.3</v>
      </c>
      <c r="AB11" s="44"/>
      <c r="AC11" s="44">
        <f t="shared" si="3"/>
        <v>1333.59</v>
      </c>
      <c r="AD11" s="60"/>
    </row>
    <row r="12" ht="14.25" customHeight="1">
      <c r="A12" s="48">
        <v>45788.0</v>
      </c>
      <c r="B12" s="72">
        <v>512.0</v>
      </c>
      <c r="C12" s="51">
        <v>7.0</v>
      </c>
      <c r="D12" s="51">
        <v>60.0</v>
      </c>
      <c r="E12" s="50"/>
      <c r="F12" s="51">
        <v>10.0</v>
      </c>
      <c r="G12" s="51">
        <v>12.5</v>
      </c>
      <c r="H12" s="50"/>
      <c r="I12" s="51">
        <v>9.0</v>
      </c>
      <c r="J12" s="50"/>
      <c r="K12" s="51">
        <v>8.5</v>
      </c>
      <c r="L12" s="51"/>
      <c r="M12" s="50"/>
      <c r="N12" s="50"/>
      <c r="O12" s="50"/>
      <c r="P12" s="50"/>
      <c r="Q12" s="50"/>
      <c r="R12" s="50"/>
      <c r="S12" s="50"/>
      <c r="T12" s="50"/>
      <c r="U12" s="50"/>
      <c r="V12" s="51">
        <v>35.0</v>
      </c>
      <c r="W12" s="52"/>
      <c r="X12" s="50">
        <f t="shared" si="1"/>
        <v>107</v>
      </c>
      <c r="Y12" s="50">
        <f>sum(B6:B12)</f>
        <v>2217</v>
      </c>
      <c r="Z12" s="50">
        <f>sum(X6:X12)</f>
        <v>956.39</v>
      </c>
      <c r="AA12" s="50">
        <f t="shared" si="2"/>
        <v>405</v>
      </c>
      <c r="AB12" s="50">
        <f>Y12-Z12</f>
        <v>1260.61</v>
      </c>
      <c r="AC12" s="50">
        <f t="shared" si="3"/>
        <v>1738.59</v>
      </c>
      <c r="AD12" s="61"/>
    </row>
    <row r="13" ht="14.25" customHeight="1">
      <c r="A13" s="47">
        <v>45789.0</v>
      </c>
      <c r="B13" s="56">
        <v>205.6</v>
      </c>
      <c r="C13" s="53">
        <v>7.0</v>
      </c>
      <c r="D13" s="53">
        <v>50.0</v>
      </c>
      <c r="E13" s="44"/>
      <c r="F13" s="53">
        <v>10.5</v>
      </c>
      <c r="G13" s="53">
        <v>13.9</v>
      </c>
      <c r="H13" s="44"/>
      <c r="I13" s="44"/>
      <c r="J13" s="44"/>
      <c r="K13" s="53">
        <v>18.7</v>
      </c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53">
        <v>20.0</v>
      </c>
      <c r="W13" s="46"/>
      <c r="X13" s="44">
        <f t="shared" si="1"/>
        <v>100.1</v>
      </c>
      <c r="Y13" s="44"/>
      <c r="Z13" s="44"/>
      <c r="AA13" s="44">
        <f t="shared" si="2"/>
        <v>105.5</v>
      </c>
      <c r="AB13" s="44"/>
      <c r="AC13" s="44">
        <f t="shared" si="3"/>
        <v>1844.09</v>
      </c>
      <c r="AD13" s="62">
        <v>1810.0</v>
      </c>
    </row>
    <row r="14" ht="14.25" customHeight="1">
      <c r="A14" s="47">
        <v>45790.0</v>
      </c>
      <c r="B14" s="56">
        <v>276.8</v>
      </c>
      <c r="C14" s="53">
        <v>7.0</v>
      </c>
      <c r="D14" s="53">
        <v>50.0</v>
      </c>
      <c r="E14" s="53">
        <v>50.0</v>
      </c>
      <c r="F14" s="53">
        <v>12.2</v>
      </c>
      <c r="G14" s="44"/>
      <c r="H14" s="44"/>
      <c r="I14" s="53">
        <v>12.0</v>
      </c>
      <c r="J14" s="44"/>
      <c r="K14" s="53">
        <v>35.5</v>
      </c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53">
        <v>22.0</v>
      </c>
      <c r="W14" s="54" t="s">
        <v>89</v>
      </c>
      <c r="X14" s="44">
        <f t="shared" si="1"/>
        <v>166.7</v>
      </c>
      <c r="Y14" s="44"/>
      <c r="Z14" s="44"/>
      <c r="AA14" s="44">
        <f t="shared" si="2"/>
        <v>110.1</v>
      </c>
      <c r="AB14" s="44"/>
      <c r="AC14" s="44">
        <f t="shared" si="3"/>
        <v>1954.19</v>
      </c>
      <c r="AD14" s="60"/>
    </row>
    <row r="15" ht="14.25" customHeight="1">
      <c r="A15" s="47">
        <v>45791.0</v>
      </c>
      <c r="B15" s="56">
        <v>310.0</v>
      </c>
      <c r="C15" s="53">
        <v>7.0</v>
      </c>
      <c r="D15" s="53">
        <v>50.0</v>
      </c>
      <c r="E15" s="53">
        <v>60.0</v>
      </c>
      <c r="F15" s="53">
        <v>12.5</v>
      </c>
      <c r="G15" s="53">
        <v>11.5</v>
      </c>
      <c r="H15" s="44"/>
      <c r="I15" s="53">
        <v>7.0</v>
      </c>
      <c r="J15" s="44"/>
      <c r="K15" s="44"/>
      <c r="L15" s="53"/>
      <c r="M15" s="44"/>
      <c r="N15" s="44"/>
      <c r="O15" s="44"/>
      <c r="P15" s="44"/>
      <c r="Q15" s="44"/>
      <c r="R15" s="44"/>
      <c r="S15" s="44"/>
      <c r="T15" s="44"/>
      <c r="U15" s="44"/>
      <c r="V15" s="53">
        <v>26.0</v>
      </c>
      <c r="W15" s="46"/>
      <c r="X15" s="44">
        <f t="shared" si="1"/>
        <v>148</v>
      </c>
      <c r="Y15" s="44"/>
      <c r="Z15" s="44"/>
      <c r="AA15" s="44">
        <f t="shared" si="2"/>
        <v>162</v>
      </c>
      <c r="AB15" s="44"/>
      <c r="AC15" s="44">
        <f t="shared" si="3"/>
        <v>2116.19</v>
      </c>
      <c r="AD15" s="60"/>
    </row>
    <row r="16" ht="14.25" customHeight="1">
      <c r="A16" s="47">
        <v>45792.0</v>
      </c>
      <c r="B16" s="56">
        <v>201.6</v>
      </c>
      <c r="C16" s="53">
        <v>7.0</v>
      </c>
      <c r="D16" s="53">
        <v>60.0</v>
      </c>
      <c r="E16" s="44"/>
      <c r="F16" s="53">
        <f>7+8</f>
        <v>15</v>
      </c>
      <c r="G16" s="53">
        <v>28.0</v>
      </c>
      <c r="H16" s="44"/>
      <c r="I16" s="53">
        <v>4.43</v>
      </c>
      <c r="J16" s="44"/>
      <c r="K16" s="53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53">
        <v>22.0</v>
      </c>
      <c r="W16" s="46"/>
      <c r="X16" s="44">
        <f t="shared" si="1"/>
        <v>114.43</v>
      </c>
      <c r="Y16" s="44"/>
      <c r="Z16" s="44"/>
      <c r="AA16" s="44">
        <f t="shared" si="2"/>
        <v>87.17</v>
      </c>
      <c r="AB16" s="44"/>
      <c r="AC16" s="44">
        <f t="shared" si="3"/>
        <v>2203.36</v>
      </c>
      <c r="AD16" s="60"/>
    </row>
    <row r="17" ht="14.25" customHeight="1">
      <c r="A17" s="47">
        <v>45793.0</v>
      </c>
      <c r="B17" s="56">
        <v>221.6</v>
      </c>
      <c r="C17" s="53">
        <v>7.0</v>
      </c>
      <c r="D17" s="53">
        <v>65.0</v>
      </c>
      <c r="E17" s="44"/>
      <c r="F17" s="53">
        <f>12.5+10+5.2</f>
        <v>27.7</v>
      </c>
      <c r="G17" s="53">
        <v>14.75</v>
      </c>
      <c r="H17" s="44"/>
      <c r="I17" s="53">
        <v>4.43</v>
      </c>
      <c r="J17" s="44"/>
      <c r="K17" s="53">
        <v>11.2</v>
      </c>
      <c r="L17" s="53"/>
      <c r="M17" s="44"/>
      <c r="N17" s="44"/>
      <c r="O17" s="44"/>
      <c r="P17" s="44"/>
      <c r="Q17" s="44"/>
      <c r="R17" s="44"/>
      <c r="S17" s="44"/>
      <c r="T17" s="53"/>
      <c r="U17" s="44"/>
      <c r="V17" s="53">
        <v>20.0</v>
      </c>
      <c r="W17" s="46"/>
      <c r="X17" s="44">
        <f t="shared" si="1"/>
        <v>130.08</v>
      </c>
      <c r="Y17" s="44"/>
      <c r="Z17" s="44"/>
      <c r="AA17" s="44">
        <f t="shared" si="2"/>
        <v>91.52</v>
      </c>
      <c r="AB17" s="44"/>
      <c r="AC17" s="44">
        <f t="shared" si="3"/>
        <v>2294.88</v>
      </c>
      <c r="AD17" s="60"/>
    </row>
    <row r="18" ht="14.25" customHeight="1">
      <c r="A18" s="47">
        <v>45794.0</v>
      </c>
      <c r="B18" s="56">
        <v>379.44</v>
      </c>
      <c r="C18" s="53">
        <v>7.0</v>
      </c>
      <c r="D18" s="53">
        <v>50.0</v>
      </c>
      <c r="E18" s="44"/>
      <c r="F18" s="53">
        <v>17.5</v>
      </c>
      <c r="G18" s="53">
        <v>10.0</v>
      </c>
      <c r="H18" s="44"/>
      <c r="I18" s="53">
        <v>3.5</v>
      </c>
      <c r="J18" s="44"/>
      <c r="K18" s="53">
        <v>9.3</v>
      </c>
      <c r="L18" s="44"/>
      <c r="M18" s="44"/>
      <c r="N18" s="44"/>
      <c r="O18" s="44"/>
      <c r="P18" s="44"/>
      <c r="Q18" s="44"/>
      <c r="R18" s="44"/>
      <c r="S18" s="44"/>
      <c r="T18" s="53">
        <v>200.0</v>
      </c>
      <c r="U18" s="44"/>
      <c r="V18" s="53">
        <v>28.0</v>
      </c>
      <c r="W18" s="54" t="s">
        <v>90</v>
      </c>
      <c r="X18" s="44">
        <f t="shared" si="1"/>
        <v>297.3</v>
      </c>
      <c r="Y18" s="44"/>
      <c r="Z18" s="44"/>
      <c r="AA18" s="44">
        <f t="shared" si="2"/>
        <v>82.14</v>
      </c>
      <c r="AB18" s="44"/>
      <c r="AC18" s="44">
        <f t="shared" si="3"/>
        <v>2377.02</v>
      </c>
      <c r="AD18" s="60"/>
    </row>
    <row r="19" ht="14.25" customHeight="1">
      <c r="A19" s="48">
        <v>45795.0</v>
      </c>
      <c r="B19" s="72">
        <v>244.0</v>
      </c>
      <c r="C19" s="51">
        <v>7.0</v>
      </c>
      <c r="D19" s="51">
        <v>55.0</v>
      </c>
      <c r="E19" s="50"/>
      <c r="F19" s="51">
        <v>12.5</v>
      </c>
      <c r="G19" s="51">
        <f>7.1+6.5</f>
        <v>13.6</v>
      </c>
      <c r="H19" s="50"/>
      <c r="I19" s="51">
        <f>3.5+2+3.5</f>
        <v>9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1">
        <v>29.0</v>
      </c>
      <c r="W19" s="52"/>
      <c r="X19" s="50">
        <f t="shared" si="1"/>
        <v>97.1</v>
      </c>
      <c r="Y19" s="50">
        <f>sum(B13:B19)</f>
        <v>1839.04</v>
      </c>
      <c r="Z19" s="50">
        <f>sum(X13:X19)</f>
        <v>1053.71</v>
      </c>
      <c r="AA19" s="50">
        <f t="shared" si="2"/>
        <v>146.9</v>
      </c>
      <c r="AB19" s="50">
        <f>Y19-Z19</f>
        <v>785.33</v>
      </c>
      <c r="AC19" s="50">
        <f t="shared" si="3"/>
        <v>2523.92</v>
      </c>
      <c r="AD19" s="61"/>
    </row>
    <row r="20" ht="14.25" customHeight="1">
      <c r="A20" s="47">
        <v>45796.0</v>
      </c>
      <c r="B20" s="45">
        <f>348.8+89.01</f>
        <v>437.81</v>
      </c>
      <c r="C20" s="53">
        <v>7.0</v>
      </c>
      <c r="D20" s="53">
        <v>55.0</v>
      </c>
      <c r="E20" s="53">
        <v>68.0</v>
      </c>
      <c r="F20" s="53">
        <v>12.5</v>
      </c>
      <c r="G20" s="53">
        <f>5+11.2</f>
        <v>16.2</v>
      </c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53">
        <v>31.0</v>
      </c>
      <c r="W20" s="46"/>
      <c r="X20" s="44">
        <f t="shared" si="1"/>
        <v>158.7</v>
      </c>
      <c r="Y20" s="44"/>
      <c r="Z20" s="44"/>
      <c r="AA20" s="44">
        <f t="shared" si="2"/>
        <v>279.11</v>
      </c>
      <c r="AB20" s="44"/>
      <c r="AC20" s="44">
        <f t="shared" si="3"/>
        <v>2803.03</v>
      </c>
      <c r="AD20" s="62">
        <v>1000.0</v>
      </c>
    </row>
    <row r="21" ht="14.25" customHeight="1">
      <c r="A21" s="47">
        <v>45797.0</v>
      </c>
      <c r="B21" s="56">
        <v>239.2</v>
      </c>
      <c r="C21" s="53">
        <v>7.0</v>
      </c>
      <c r="D21" s="53">
        <v>69.0</v>
      </c>
      <c r="E21" s="44"/>
      <c r="F21" s="53">
        <f>6+5</f>
        <v>11</v>
      </c>
      <c r="G21" s="53">
        <v>12.2</v>
      </c>
      <c r="H21" s="44"/>
      <c r="I21" s="44"/>
      <c r="J21" s="44"/>
      <c r="K21" s="44"/>
      <c r="L21" s="44"/>
      <c r="M21" s="44"/>
      <c r="N21" s="53"/>
      <c r="O21" s="44"/>
      <c r="P21" s="44"/>
      <c r="Q21" s="44"/>
      <c r="R21" s="44"/>
      <c r="S21" s="44"/>
      <c r="T21" s="44"/>
      <c r="U21" s="44"/>
      <c r="V21" s="53">
        <v>23.0</v>
      </c>
      <c r="W21" s="54"/>
      <c r="X21" s="44">
        <f t="shared" si="1"/>
        <v>99.2</v>
      </c>
      <c r="Y21" s="44"/>
      <c r="Z21" s="44"/>
      <c r="AA21" s="44">
        <f t="shared" si="2"/>
        <v>140</v>
      </c>
      <c r="AB21" s="44"/>
      <c r="AC21" s="44">
        <f t="shared" si="3"/>
        <v>2943.03</v>
      </c>
      <c r="AD21" s="60"/>
    </row>
    <row r="22" ht="14.25" customHeight="1">
      <c r="A22" s="47">
        <v>45798.0</v>
      </c>
      <c r="B22" s="56">
        <v>375.0</v>
      </c>
      <c r="C22" s="53">
        <v>7.0</v>
      </c>
      <c r="D22" s="53">
        <v>66.0</v>
      </c>
      <c r="E22" s="44"/>
      <c r="F22" s="53">
        <v>15.5</v>
      </c>
      <c r="G22" s="53">
        <v>7.0</v>
      </c>
      <c r="H22" s="44"/>
      <c r="I22" s="53">
        <f>3.5+7.46</f>
        <v>10.96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53">
        <v>30.0</v>
      </c>
      <c r="W22" s="46"/>
      <c r="X22" s="44">
        <f t="shared" si="1"/>
        <v>106.46</v>
      </c>
      <c r="Y22" s="44"/>
      <c r="Z22" s="44"/>
      <c r="AA22" s="44">
        <f t="shared" si="2"/>
        <v>268.54</v>
      </c>
      <c r="AB22" s="44"/>
      <c r="AC22" s="44">
        <f t="shared" si="3"/>
        <v>3211.57</v>
      </c>
      <c r="AD22" s="60"/>
    </row>
    <row r="23" ht="14.25" customHeight="1">
      <c r="A23" s="47">
        <v>45799.0</v>
      </c>
      <c r="B23" s="56">
        <v>276.6</v>
      </c>
      <c r="C23" s="53">
        <v>7.0</v>
      </c>
      <c r="D23" s="53">
        <v>70.0</v>
      </c>
      <c r="E23" s="44"/>
      <c r="F23" s="53">
        <v>14.5</v>
      </c>
      <c r="G23" s="53">
        <v>10.0</v>
      </c>
      <c r="H23" s="44"/>
      <c r="I23" s="53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53">
        <v>21.0</v>
      </c>
      <c r="W23" s="46"/>
      <c r="X23" s="44">
        <f t="shared" si="1"/>
        <v>101.5</v>
      </c>
      <c r="Y23" s="44"/>
      <c r="Z23" s="44"/>
      <c r="AA23" s="44">
        <f t="shared" si="2"/>
        <v>175.1</v>
      </c>
      <c r="AB23" s="44"/>
      <c r="AC23" s="44">
        <f t="shared" si="3"/>
        <v>3386.67</v>
      </c>
      <c r="AD23" s="60"/>
    </row>
    <row r="24" ht="14.25" customHeight="1">
      <c r="A24" s="47">
        <v>45800.0</v>
      </c>
      <c r="B24" s="56">
        <v>295.2</v>
      </c>
      <c r="C24" s="53">
        <v>7.0</v>
      </c>
      <c r="D24" s="53">
        <v>70.0</v>
      </c>
      <c r="E24" s="44"/>
      <c r="F24" s="53">
        <v>8.0</v>
      </c>
      <c r="G24" s="53">
        <v>11.15</v>
      </c>
      <c r="H24" s="44"/>
      <c r="I24" s="53">
        <v>3.6</v>
      </c>
      <c r="J24" s="44"/>
      <c r="K24" s="44"/>
      <c r="L24" s="44"/>
      <c r="M24" s="44"/>
      <c r="N24" s="44"/>
      <c r="O24" s="53"/>
      <c r="P24" s="44"/>
      <c r="Q24" s="44"/>
      <c r="R24" s="44"/>
      <c r="S24" s="44"/>
      <c r="T24" s="44"/>
      <c r="U24" s="44"/>
      <c r="V24" s="53">
        <v>25.0</v>
      </c>
      <c r="W24" s="54"/>
      <c r="X24" s="44">
        <f t="shared" si="1"/>
        <v>99.75</v>
      </c>
      <c r="Y24" s="44"/>
      <c r="Z24" s="44"/>
      <c r="AA24" s="44">
        <f t="shared" si="2"/>
        <v>195.45</v>
      </c>
      <c r="AB24" s="44"/>
      <c r="AC24" s="44">
        <f t="shared" si="3"/>
        <v>3582.12</v>
      </c>
      <c r="AD24" s="60"/>
    </row>
    <row r="25" ht="14.25" customHeight="1">
      <c r="A25" s="47">
        <v>45801.0</v>
      </c>
      <c r="B25" s="56">
        <v>375.0</v>
      </c>
      <c r="C25" s="53">
        <v>7.0</v>
      </c>
      <c r="D25" s="53">
        <v>60.0</v>
      </c>
      <c r="E25" s="44"/>
      <c r="F25" s="53">
        <v>16.5</v>
      </c>
      <c r="G25" s="44">
        <f>15+10+5.4</f>
        <v>30.4</v>
      </c>
      <c r="H25" s="44"/>
      <c r="I25" s="53">
        <v>4.26</v>
      </c>
      <c r="J25" s="44"/>
      <c r="K25" s="44"/>
      <c r="L25" s="44"/>
      <c r="M25" s="44"/>
      <c r="N25" s="44"/>
      <c r="O25" s="53">
        <v>3.0</v>
      </c>
      <c r="P25" s="44"/>
      <c r="Q25" s="44"/>
      <c r="R25" s="44"/>
      <c r="S25" s="44"/>
      <c r="T25" s="44"/>
      <c r="U25" s="44"/>
      <c r="V25" s="53">
        <v>38.0</v>
      </c>
      <c r="W25" s="46"/>
      <c r="X25" s="44">
        <f t="shared" si="1"/>
        <v>121.16</v>
      </c>
      <c r="Y25" s="44"/>
      <c r="Z25" s="44"/>
      <c r="AA25" s="44">
        <f t="shared" si="2"/>
        <v>253.84</v>
      </c>
      <c r="AB25" s="44"/>
      <c r="AC25" s="44">
        <f t="shared" si="3"/>
        <v>3835.96</v>
      </c>
      <c r="AD25" s="60"/>
    </row>
    <row r="26" ht="14.25" customHeight="1">
      <c r="A26" s="48">
        <v>45802.0</v>
      </c>
      <c r="B26" s="72">
        <v>313.6</v>
      </c>
      <c r="C26" s="51">
        <v>7.0</v>
      </c>
      <c r="D26" s="51">
        <v>60.0</v>
      </c>
      <c r="E26" s="50"/>
      <c r="F26" s="50">
        <f>10+20</f>
        <v>30</v>
      </c>
      <c r="G26" s="51">
        <v>6.0</v>
      </c>
      <c r="H26" s="50"/>
      <c r="I26" s="51">
        <v>4.26</v>
      </c>
      <c r="J26" s="50"/>
      <c r="K26" s="50"/>
      <c r="L26" s="51"/>
      <c r="M26" s="50"/>
      <c r="N26" s="50"/>
      <c r="O26" s="50"/>
      <c r="P26" s="50"/>
      <c r="Q26" s="50"/>
      <c r="R26" s="50"/>
      <c r="S26" s="50"/>
      <c r="T26" s="50"/>
      <c r="U26" s="50"/>
      <c r="V26" s="51">
        <v>33.0</v>
      </c>
      <c r="W26" s="55" t="s">
        <v>91</v>
      </c>
      <c r="X26" s="50">
        <f t="shared" si="1"/>
        <v>107.26</v>
      </c>
      <c r="Y26" s="50">
        <f>sum(B20:B26)</f>
        <v>2312.41</v>
      </c>
      <c r="Z26" s="50">
        <f>sum(X20:X26)</f>
        <v>794.03</v>
      </c>
      <c r="AA26" s="50">
        <f t="shared" si="2"/>
        <v>206.34</v>
      </c>
      <c r="AB26" s="50">
        <f>Y26-Z26</f>
        <v>1518.38</v>
      </c>
      <c r="AC26" s="50">
        <f t="shared" si="3"/>
        <v>4042.3</v>
      </c>
      <c r="AD26" s="61"/>
    </row>
    <row r="27" ht="14.25" customHeight="1">
      <c r="A27" s="47">
        <v>45803.0</v>
      </c>
      <c r="B27" s="56">
        <v>317.2</v>
      </c>
      <c r="C27" s="53">
        <v>7.0</v>
      </c>
      <c r="D27" s="53">
        <v>66.0</v>
      </c>
      <c r="E27" s="44"/>
      <c r="F27" s="53">
        <v>12.2</v>
      </c>
      <c r="G27" s="44"/>
      <c r="H27" s="44"/>
      <c r="I27" s="53">
        <v>7.4</v>
      </c>
      <c r="J27" s="44"/>
      <c r="K27" s="44">
        <f>7.4+14.35</f>
        <v>21.75</v>
      </c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53">
        <v>12.0</v>
      </c>
      <c r="W27" s="46"/>
      <c r="X27" s="44">
        <f t="shared" si="1"/>
        <v>114.35</v>
      </c>
      <c r="Y27" s="44"/>
      <c r="Z27" s="44"/>
      <c r="AA27" s="44">
        <f t="shared" si="2"/>
        <v>202.85</v>
      </c>
      <c r="AB27" s="44"/>
      <c r="AC27" s="44">
        <f t="shared" si="3"/>
        <v>4245.15</v>
      </c>
      <c r="AD27" s="60"/>
    </row>
    <row r="28" ht="14.25" customHeight="1">
      <c r="A28" s="47">
        <v>45804.0</v>
      </c>
      <c r="B28" s="56">
        <v>507.18</v>
      </c>
      <c r="C28" s="53">
        <v>7.0</v>
      </c>
      <c r="D28" s="53">
        <v>65.0</v>
      </c>
      <c r="E28" s="44"/>
      <c r="F28" s="53">
        <v>12.0</v>
      </c>
      <c r="G28" s="44"/>
      <c r="H28" s="44"/>
      <c r="I28" s="53">
        <v>3.85</v>
      </c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53">
        <v>26.0</v>
      </c>
      <c r="W28" s="46"/>
      <c r="X28" s="44">
        <f t="shared" si="1"/>
        <v>87.85</v>
      </c>
      <c r="Y28" s="44"/>
      <c r="Z28" s="44"/>
      <c r="AA28" s="44">
        <f t="shared" si="2"/>
        <v>419.33</v>
      </c>
      <c r="AB28" s="44"/>
      <c r="AC28" s="44">
        <f t="shared" si="3"/>
        <v>4664.48</v>
      </c>
      <c r="AD28" s="60"/>
    </row>
    <row r="29" ht="14.25" customHeight="1">
      <c r="A29" s="47">
        <v>45805.0</v>
      </c>
      <c r="B29" s="56">
        <v>222.6</v>
      </c>
      <c r="C29" s="53">
        <v>7.0</v>
      </c>
      <c r="D29" s="53">
        <v>65.0</v>
      </c>
      <c r="E29" s="44"/>
      <c r="F29" s="53">
        <v>11.5</v>
      </c>
      <c r="G29" s="53">
        <v>10.0</v>
      </c>
      <c r="H29" s="44"/>
      <c r="I29" s="53">
        <v>3.5</v>
      </c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53">
        <v>22.0</v>
      </c>
      <c r="W29" s="46"/>
      <c r="X29" s="44">
        <f t="shared" si="1"/>
        <v>97</v>
      </c>
      <c r="Y29" s="44"/>
      <c r="Z29" s="44"/>
      <c r="AA29" s="44">
        <f t="shared" si="2"/>
        <v>125.6</v>
      </c>
      <c r="AB29" s="44"/>
      <c r="AC29" s="44">
        <f t="shared" si="3"/>
        <v>4790.08</v>
      </c>
      <c r="AD29" s="62">
        <v>1330.0</v>
      </c>
    </row>
    <row r="30" ht="14.25" customHeight="1">
      <c r="A30" s="47">
        <v>45806.0</v>
      </c>
      <c r="B30" s="56">
        <v>308.6</v>
      </c>
      <c r="C30" s="53">
        <v>7.0</v>
      </c>
      <c r="D30" s="53">
        <v>65.0</v>
      </c>
      <c r="E30" s="44"/>
      <c r="F30" s="53">
        <v>15.9</v>
      </c>
      <c r="G30" s="44"/>
      <c r="H30" s="44"/>
      <c r="I30" s="53">
        <v>3.5</v>
      </c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53">
        <v>26.0</v>
      </c>
      <c r="W30" s="46"/>
      <c r="X30" s="44">
        <f t="shared" si="1"/>
        <v>91.4</v>
      </c>
      <c r="Y30" s="44"/>
      <c r="Z30" s="44"/>
      <c r="AA30" s="44">
        <f t="shared" si="2"/>
        <v>217.2</v>
      </c>
      <c r="AB30" s="44"/>
      <c r="AC30" s="44">
        <f t="shared" si="3"/>
        <v>5007.28</v>
      </c>
      <c r="AD30" s="60"/>
    </row>
    <row r="31" ht="14.25" customHeight="1">
      <c r="A31" s="47">
        <v>45807.0</v>
      </c>
      <c r="B31" s="56">
        <v>201.6</v>
      </c>
      <c r="C31" s="53">
        <v>7.0</v>
      </c>
      <c r="D31" s="53">
        <v>65.0</v>
      </c>
      <c r="E31" s="44"/>
      <c r="F31" s="53">
        <v>15.5</v>
      </c>
      <c r="G31" s="53">
        <v>11.5</v>
      </c>
      <c r="H31" s="44"/>
      <c r="I31" s="44">
        <f>3.12+6</f>
        <v>9.12</v>
      </c>
      <c r="J31" s="44"/>
      <c r="K31" s="53">
        <v>11.5</v>
      </c>
      <c r="L31" s="44"/>
      <c r="M31" s="44"/>
      <c r="N31" s="44"/>
      <c r="O31" s="44"/>
      <c r="P31" s="44"/>
      <c r="Q31" s="53">
        <v>16.0</v>
      </c>
      <c r="R31" s="44"/>
      <c r="S31" s="53">
        <v>12.57</v>
      </c>
      <c r="T31" s="44"/>
      <c r="U31" s="44"/>
      <c r="V31" s="53">
        <v>20.0</v>
      </c>
      <c r="W31" s="46"/>
      <c r="X31" s="44">
        <f t="shared" si="1"/>
        <v>148.19</v>
      </c>
      <c r="Y31" s="44"/>
      <c r="Z31" s="44"/>
      <c r="AA31" s="44">
        <f t="shared" si="2"/>
        <v>53.41</v>
      </c>
      <c r="AB31" s="44"/>
      <c r="AC31" s="44">
        <f t="shared" si="3"/>
        <v>5060.69</v>
      </c>
      <c r="AD31" s="60"/>
    </row>
    <row r="32" ht="14.25" customHeight="1">
      <c r="A32" s="47">
        <v>45808.0</v>
      </c>
      <c r="B32" s="56">
        <v>328.84</v>
      </c>
      <c r="C32" s="53">
        <v>7.0</v>
      </c>
      <c r="D32" s="53">
        <v>50.0</v>
      </c>
      <c r="E32" s="53">
        <v>65.0</v>
      </c>
      <c r="F32" s="53">
        <v>14.5</v>
      </c>
      <c r="G32" s="53">
        <v>13.0</v>
      </c>
      <c r="H32" s="44"/>
      <c r="I32" s="53">
        <v>3.5</v>
      </c>
      <c r="J32" s="44"/>
      <c r="K32" s="44"/>
      <c r="L32" s="44"/>
      <c r="M32" s="44"/>
      <c r="N32" s="44"/>
      <c r="O32" s="53">
        <v>15.9</v>
      </c>
      <c r="P32" s="44"/>
      <c r="Q32" s="44"/>
      <c r="R32" s="44"/>
      <c r="S32" s="44"/>
      <c r="T32" s="44"/>
      <c r="U32" s="44"/>
      <c r="V32" s="53">
        <v>25.0</v>
      </c>
      <c r="W32" s="46"/>
      <c r="X32" s="44">
        <f t="shared" si="1"/>
        <v>168.9</v>
      </c>
      <c r="Y32" s="44">
        <f>sum(B27:B32)</f>
        <v>1886.02</v>
      </c>
      <c r="Z32" s="44">
        <f>sum(X27:X32)</f>
        <v>707.69</v>
      </c>
      <c r="AA32" s="44">
        <f t="shared" si="2"/>
        <v>159.94</v>
      </c>
      <c r="AB32" s="44">
        <f>Y32-Z32</f>
        <v>1178.33</v>
      </c>
      <c r="AC32" s="44">
        <f t="shared" si="3"/>
        <v>5220.63</v>
      </c>
      <c r="AD32" s="60"/>
    </row>
    <row r="33" ht="14.25" customHeight="1">
      <c r="A33" s="44"/>
      <c r="B33" s="45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53"/>
      <c r="W33" s="46"/>
      <c r="X33" s="44"/>
      <c r="Y33" s="44"/>
      <c r="Z33" s="53"/>
      <c r="AA33" s="44"/>
      <c r="AB33" s="44"/>
      <c r="AC33" s="44"/>
      <c r="AD33" s="60"/>
    </row>
    <row r="34" ht="14.25" customHeight="1">
      <c r="A34" s="44" t="str">
        <f>count(B2:B32,"number")&amp;" "&amp;"/"&amp;" "&amp;countif(B2:B32,"")</f>
        <v>31 / 0</v>
      </c>
      <c r="B34" s="45">
        <f t="shared" ref="B34:U34" si="4">SUM(B2:B33)</f>
        <v>9514.47</v>
      </c>
      <c r="C34" s="44">
        <f t="shared" si="4"/>
        <v>217</v>
      </c>
      <c r="D34" s="44">
        <f t="shared" si="4"/>
        <v>1851</v>
      </c>
      <c r="E34" s="44">
        <f t="shared" si="4"/>
        <v>309</v>
      </c>
      <c r="F34" s="44">
        <f t="shared" si="4"/>
        <v>412.6</v>
      </c>
      <c r="G34" s="44">
        <f t="shared" si="4"/>
        <v>316.3</v>
      </c>
      <c r="H34" s="44">
        <f t="shared" si="4"/>
        <v>220</v>
      </c>
      <c r="I34" s="44">
        <f t="shared" si="4"/>
        <v>147.42</v>
      </c>
      <c r="J34" s="44">
        <f t="shared" si="4"/>
        <v>0</v>
      </c>
      <c r="K34" s="44">
        <f t="shared" si="4"/>
        <v>138.05</v>
      </c>
      <c r="L34" s="44">
        <f t="shared" si="4"/>
        <v>0</v>
      </c>
      <c r="M34" s="44">
        <f t="shared" si="4"/>
        <v>0</v>
      </c>
      <c r="N34" s="44">
        <f t="shared" si="4"/>
        <v>30</v>
      </c>
      <c r="O34" s="44">
        <f t="shared" si="4"/>
        <v>18.9</v>
      </c>
      <c r="P34" s="44">
        <f t="shared" si="4"/>
        <v>5</v>
      </c>
      <c r="Q34" s="44">
        <f t="shared" si="4"/>
        <v>27</v>
      </c>
      <c r="R34" s="44">
        <f t="shared" si="4"/>
        <v>350</v>
      </c>
      <c r="S34" s="44">
        <f t="shared" si="4"/>
        <v>12.57</v>
      </c>
      <c r="T34" s="44">
        <f t="shared" si="4"/>
        <v>200</v>
      </c>
      <c r="U34" s="44">
        <f t="shared" si="4"/>
        <v>39</v>
      </c>
      <c r="V34" s="44"/>
      <c r="W34" s="46"/>
      <c r="X34" s="44">
        <f>SUM(X2:X33)</f>
        <v>4293.84</v>
      </c>
      <c r="Y34" s="44"/>
      <c r="Z34" s="44"/>
      <c r="AA34" s="44"/>
      <c r="AB34" s="44"/>
      <c r="AC34" s="44"/>
      <c r="AD34" s="60"/>
    </row>
    <row r="35" ht="14.25" customHeight="1">
      <c r="A35" s="57" t="s">
        <v>62</v>
      </c>
      <c r="B35" s="58">
        <f>B34-(C34+D34+E34+F34+G34+H34+I34+J34+K34+L34+M34+N34+O34+P34+Q34+R34+S34+T34+U34)</f>
        <v>5220.63</v>
      </c>
      <c r="C35" s="44"/>
      <c r="D35" s="44">
        <f>D34+E34</f>
        <v>2160</v>
      </c>
      <c r="F35" s="44">
        <f>G34+F34</f>
        <v>728.9</v>
      </c>
      <c r="H35" s="44"/>
      <c r="I35" s="44"/>
      <c r="J35" s="66" t="s">
        <v>80</v>
      </c>
      <c r="K35" s="67" t="s">
        <v>81</v>
      </c>
      <c r="L35" s="68" t="s">
        <v>82</v>
      </c>
      <c r="M35" s="69" t="s">
        <v>83</v>
      </c>
      <c r="N35" s="70" t="s">
        <v>84</v>
      </c>
      <c r="O35" s="71" t="s">
        <v>85</v>
      </c>
      <c r="P35" s="44"/>
      <c r="Q35" s="44"/>
      <c r="R35" s="44"/>
      <c r="S35" s="44"/>
      <c r="T35" s="44"/>
      <c r="U35" s="44"/>
      <c r="V35" s="44"/>
      <c r="W35" s="46" t="s">
        <v>63</v>
      </c>
      <c r="X35" s="46"/>
      <c r="Y35" s="46"/>
      <c r="Z35" s="46"/>
      <c r="AA35" s="46"/>
      <c r="AB35" s="59">
        <f>B35/B34</f>
        <v>0.5487042368</v>
      </c>
      <c r="AC35" s="59"/>
      <c r="AD35" s="60"/>
    </row>
  </sheetData>
  <mergeCells count="4">
    <mergeCell ref="D1:E1"/>
    <mergeCell ref="F1:G1"/>
    <mergeCell ref="D35:E35"/>
    <mergeCell ref="F35:G35"/>
  </mergeCells>
  <conditionalFormatting sqref="B2:B32">
    <cfRule type="cellIs" dxfId="9" priority="1" operator="between">
      <formula>0</formula>
      <formula>99.99</formula>
    </cfRule>
  </conditionalFormatting>
  <conditionalFormatting sqref="B2:B32">
    <cfRule type="cellIs" dxfId="3" priority="2" operator="between">
      <formula>100</formula>
      <formula>199.99</formula>
    </cfRule>
  </conditionalFormatting>
  <conditionalFormatting sqref="B2:B32">
    <cfRule type="cellIs" dxfId="10" priority="3" operator="between">
      <formula>200</formula>
      <formula>299.99</formula>
    </cfRule>
  </conditionalFormatting>
  <conditionalFormatting sqref="B2:B32">
    <cfRule type="cellIs" dxfId="5" priority="4" operator="between">
      <formula>300</formula>
      <formula>399.99</formula>
    </cfRule>
  </conditionalFormatting>
  <conditionalFormatting sqref="B2:B32">
    <cfRule type="cellIs" dxfId="6" priority="5" operator="between">
      <formula>400</formula>
      <formula>499.99</formula>
    </cfRule>
  </conditionalFormatting>
  <conditionalFormatting sqref="B2:B32">
    <cfRule type="cellIs" dxfId="7" priority="6" operator="greaterThan">
      <formula>500</formula>
    </cfRule>
  </conditionalFormatting>
  <conditionalFormatting sqref="AA2:AA32">
    <cfRule type="cellIs" dxfId="0" priority="7" operator="greaterThan">
      <formula>0</formula>
    </cfRule>
  </conditionalFormatting>
  <conditionalFormatting sqref="AA2:AA32">
    <cfRule type="cellIs" dxfId="11" priority="8" operator="lessThan">
      <formula>0</formula>
    </cfRule>
  </conditionalFormatting>
  <conditionalFormatting sqref="AC2:AC32">
    <cfRule type="cellIs" dxfId="2" priority="9" operator="lessThan">
      <formula>1000</formula>
    </cfRule>
  </conditionalFormatting>
  <conditionalFormatting sqref="AC2:AC32">
    <cfRule type="cellIs" dxfId="3" priority="10" operator="lessThan">
      <formula>2000</formula>
    </cfRule>
  </conditionalFormatting>
  <conditionalFormatting sqref="AC2:AC32">
    <cfRule type="cellIs" dxfId="4" priority="11" operator="lessThan">
      <formula>3000</formula>
    </cfRule>
  </conditionalFormatting>
  <conditionalFormatting sqref="AC2:AC32">
    <cfRule type="cellIs" dxfId="5" priority="12" operator="lessThan">
      <formula>4000</formula>
    </cfRule>
  </conditionalFormatting>
  <conditionalFormatting sqref="AC2:AC32">
    <cfRule type="cellIs" dxfId="6" priority="13" operator="lessThan">
      <formula>5000</formula>
    </cfRule>
  </conditionalFormatting>
  <conditionalFormatting sqref="AC2:AC32">
    <cfRule type="cellIs" dxfId="7" priority="14" operator="greaterThanOrEqual">
      <formula>5000</formula>
    </cfRule>
  </conditionalFormatting>
  <conditionalFormatting sqref="AC2:AC32">
    <cfRule type="cellIs" dxfId="8" priority="15" operator="greaterThanOrEqual">
      <formula>6000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88"/>
    <col customWidth="1" min="2" max="2" width="10.75"/>
    <col customWidth="1" min="3" max="3" width="8.63"/>
    <col customWidth="1" min="4" max="5" width="8.25"/>
    <col customWidth="1" min="6" max="7" width="8.0"/>
    <col customWidth="1" min="8" max="9" width="7.63"/>
    <col customWidth="1" min="10" max="14" width="9.75"/>
    <col customWidth="1" min="15" max="21" width="7.63"/>
    <col customWidth="1" min="22" max="23" width="14.38"/>
    <col customWidth="1" min="24" max="24" width="9.38"/>
    <col customWidth="1" min="25" max="25" width="11.5"/>
    <col customWidth="1" min="26" max="30" width="9.38"/>
  </cols>
  <sheetData>
    <row r="1" ht="14.25" customHeight="1">
      <c r="A1" s="44" t="s">
        <v>53</v>
      </c>
      <c r="B1" s="44" t="s">
        <v>1</v>
      </c>
      <c r="C1" s="44" t="s">
        <v>16</v>
      </c>
      <c r="D1" s="44" t="s">
        <v>17</v>
      </c>
      <c r="F1" s="44" t="s">
        <v>18</v>
      </c>
      <c r="H1" s="44" t="s">
        <v>19</v>
      </c>
      <c r="I1" s="44" t="s">
        <v>20</v>
      </c>
      <c r="J1" s="44" t="s">
        <v>21</v>
      </c>
      <c r="K1" s="44" t="s">
        <v>22</v>
      </c>
      <c r="L1" s="44" t="s">
        <v>23</v>
      </c>
      <c r="M1" s="44" t="s">
        <v>24</v>
      </c>
      <c r="N1" s="44" t="s">
        <v>25</v>
      </c>
      <c r="O1" s="44" t="s">
        <v>26</v>
      </c>
      <c r="P1" s="44" t="s">
        <v>27</v>
      </c>
      <c r="Q1" s="44" t="s">
        <v>28</v>
      </c>
      <c r="R1" s="44" t="s">
        <v>29</v>
      </c>
      <c r="S1" s="44" t="s">
        <v>32</v>
      </c>
      <c r="T1" s="44" t="s">
        <v>34</v>
      </c>
      <c r="U1" s="44" t="s">
        <v>36</v>
      </c>
      <c r="V1" s="53" t="s">
        <v>40</v>
      </c>
      <c r="W1" s="46" t="s">
        <v>54</v>
      </c>
      <c r="X1" s="44" t="s">
        <v>2</v>
      </c>
      <c r="Y1" s="44" t="s">
        <v>55</v>
      </c>
      <c r="Z1" s="44" t="s">
        <v>56</v>
      </c>
      <c r="AA1" s="44" t="s">
        <v>57</v>
      </c>
      <c r="AB1" s="44" t="s">
        <v>58</v>
      </c>
      <c r="AC1" s="53" t="s">
        <v>78</v>
      </c>
      <c r="AD1" s="60" t="s">
        <v>46</v>
      </c>
    </row>
    <row r="2" ht="14.25" customHeight="1">
      <c r="A2" s="48">
        <v>45809.0</v>
      </c>
      <c r="B2" s="51">
        <v>252.8</v>
      </c>
      <c r="C2" s="51">
        <v>7.0</v>
      </c>
      <c r="D2" s="51">
        <v>60.0</v>
      </c>
      <c r="E2" s="50"/>
      <c r="F2" s="51">
        <v>12.0</v>
      </c>
      <c r="G2" s="50">
        <f>10+7.5</f>
        <v>17.5</v>
      </c>
      <c r="H2" s="50"/>
      <c r="I2" s="50">
        <f>3.12+2.3</f>
        <v>5.42</v>
      </c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1">
        <v>22.0</v>
      </c>
      <c r="W2" s="52"/>
      <c r="X2" s="50">
        <f>sum(C2:U2)</f>
        <v>101.92</v>
      </c>
      <c r="Y2" s="50">
        <f>sum(B2)</f>
        <v>252.8</v>
      </c>
      <c r="Z2" s="50">
        <f>sum(X2)</f>
        <v>101.92</v>
      </c>
      <c r="AA2" s="50">
        <f t="shared" ref="AA2:AA31" si="1">B2-X2</f>
        <v>150.88</v>
      </c>
      <c r="AB2" s="50">
        <f>AA2+May!AB32</f>
        <v>1329.21</v>
      </c>
      <c r="AC2" s="50">
        <f>AA2</f>
        <v>150.88</v>
      </c>
      <c r="AD2" s="61"/>
    </row>
    <row r="3" ht="14.25" customHeight="1">
      <c r="A3" s="74">
        <v>45810.0</v>
      </c>
      <c r="B3" s="75">
        <v>286.0</v>
      </c>
      <c r="C3" s="75">
        <v>7.0</v>
      </c>
      <c r="D3" s="75">
        <v>70.0</v>
      </c>
      <c r="E3" s="76"/>
      <c r="F3" s="75">
        <v>14.5</v>
      </c>
      <c r="G3" s="75">
        <v>14.0</v>
      </c>
      <c r="H3" s="76"/>
      <c r="I3" s="75">
        <f>2.4+5.66</f>
        <v>8.06</v>
      </c>
      <c r="J3" s="76"/>
      <c r="K3" s="75">
        <v>4.6</v>
      </c>
      <c r="L3" s="76">
        <f>10.08+11.45</f>
        <v>21.53</v>
      </c>
      <c r="M3" s="76"/>
      <c r="N3" s="76"/>
      <c r="O3" s="76"/>
      <c r="P3" s="76"/>
      <c r="Q3" s="76"/>
      <c r="R3" s="75"/>
      <c r="S3" s="76"/>
      <c r="T3" s="76"/>
      <c r="U3" s="75">
        <v>20.0</v>
      </c>
      <c r="V3" s="75">
        <v>25.0</v>
      </c>
      <c r="W3" s="77" t="s">
        <v>92</v>
      </c>
      <c r="X3" s="76">
        <f>sum(C3:W3)</f>
        <v>184.69</v>
      </c>
      <c r="Y3" s="76"/>
      <c r="Z3" s="76"/>
      <c r="AA3" s="76">
        <f t="shared" si="1"/>
        <v>101.31</v>
      </c>
      <c r="AB3" s="76"/>
      <c r="AC3" s="44">
        <f t="shared" ref="AC3:AC31" si="2">AC2+AA3</f>
        <v>252.19</v>
      </c>
      <c r="AD3" s="60"/>
    </row>
    <row r="4" ht="14.25" customHeight="1">
      <c r="A4" s="47">
        <v>45811.0</v>
      </c>
      <c r="B4" s="53">
        <v>447.01</v>
      </c>
      <c r="C4" s="53">
        <v>7.0</v>
      </c>
      <c r="D4" s="53">
        <v>70.0</v>
      </c>
      <c r="E4" s="44"/>
      <c r="F4" s="53">
        <v>8.0</v>
      </c>
      <c r="G4" s="53">
        <v>13.9</v>
      </c>
      <c r="H4" s="53">
        <v>220.0</v>
      </c>
      <c r="I4" s="53">
        <v>6.0</v>
      </c>
      <c r="J4" s="44"/>
      <c r="K4" s="44"/>
      <c r="L4" s="44"/>
      <c r="M4" s="44"/>
      <c r="N4" s="44"/>
      <c r="O4" s="44"/>
      <c r="P4" s="44"/>
      <c r="Q4" s="44"/>
      <c r="R4" s="53"/>
      <c r="S4" s="44"/>
      <c r="T4" s="53">
        <v>200.0</v>
      </c>
      <c r="U4" s="44"/>
      <c r="V4" s="53">
        <v>25.0</v>
      </c>
      <c r="W4" s="46"/>
      <c r="X4" s="44">
        <f t="shared" ref="X4:X31" si="3">sum(C4:U4)</f>
        <v>524.9</v>
      </c>
      <c r="Y4" s="44"/>
      <c r="Z4" s="44"/>
      <c r="AA4" s="44">
        <f t="shared" si="1"/>
        <v>-77.89</v>
      </c>
      <c r="AB4" s="44"/>
      <c r="AC4" s="44">
        <f t="shared" si="2"/>
        <v>174.3</v>
      </c>
      <c r="AD4" s="60"/>
    </row>
    <row r="5" ht="14.25" customHeight="1">
      <c r="A5" s="47">
        <v>45812.0</v>
      </c>
      <c r="B5" s="53">
        <v>403.8</v>
      </c>
      <c r="C5" s="53">
        <v>7.0</v>
      </c>
      <c r="D5" s="53">
        <v>68.0</v>
      </c>
      <c r="E5" s="44"/>
      <c r="F5" s="53">
        <v>13.0</v>
      </c>
      <c r="G5" s="53">
        <f>6+8.2</f>
        <v>14.2</v>
      </c>
      <c r="H5" s="44"/>
      <c r="I5" s="44">
        <f>3.12+2.7</f>
        <v>5.82</v>
      </c>
      <c r="J5" s="44"/>
      <c r="K5" s="44"/>
      <c r="L5" s="44"/>
      <c r="M5" s="44"/>
      <c r="N5" s="44"/>
      <c r="O5" s="44"/>
      <c r="P5" s="44"/>
      <c r="Q5" s="44"/>
      <c r="R5" s="53"/>
      <c r="S5" s="44"/>
      <c r="T5" s="44"/>
      <c r="U5" s="41"/>
      <c r="V5" s="53">
        <v>23.0</v>
      </c>
      <c r="W5" s="46"/>
      <c r="X5" s="44">
        <f t="shared" si="3"/>
        <v>108.02</v>
      </c>
      <c r="Y5" s="44"/>
      <c r="Z5" s="44"/>
      <c r="AA5" s="44">
        <f t="shared" si="1"/>
        <v>295.78</v>
      </c>
      <c r="AB5" s="44"/>
      <c r="AC5" s="44">
        <f t="shared" si="2"/>
        <v>470.08</v>
      </c>
      <c r="AD5" s="62">
        <v>830.0</v>
      </c>
    </row>
    <row r="6" ht="14.25" customHeight="1">
      <c r="A6" s="47">
        <v>45813.0</v>
      </c>
      <c r="B6" s="53">
        <v>503.8</v>
      </c>
      <c r="C6" s="53">
        <v>7.0</v>
      </c>
      <c r="D6" s="53">
        <v>70.0</v>
      </c>
      <c r="E6" s="44"/>
      <c r="F6" s="53">
        <v>20.3</v>
      </c>
      <c r="G6" s="53">
        <v>10.2</v>
      </c>
      <c r="H6" s="44"/>
      <c r="I6" s="53">
        <v>3.2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3">
        <v>30.0</v>
      </c>
      <c r="W6" s="46"/>
      <c r="X6" s="44">
        <f t="shared" si="3"/>
        <v>110.7</v>
      </c>
      <c r="Y6" s="44"/>
      <c r="Z6" s="44"/>
      <c r="AA6" s="44">
        <f t="shared" si="1"/>
        <v>393.1</v>
      </c>
      <c r="AB6" s="44"/>
      <c r="AC6" s="44">
        <f t="shared" si="2"/>
        <v>863.18</v>
      </c>
      <c r="AD6" s="60"/>
    </row>
    <row r="7" ht="14.25" customHeight="1">
      <c r="A7" s="47">
        <v>45814.0</v>
      </c>
      <c r="B7" s="53">
        <v>451.2</v>
      </c>
      <c r="C7" s="53">
        <v>7.0</v>
      </c>
      <c r="D7" s="53">
        <v>60.0</v>
      </c>
      <c r="E7" s="53">
        <v>50.0</v>
      </c>
      <c r="F7" s="53">
        <v>6.2</v>
      </c>
      <c r="G7" s="53">
        <v>15.9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3">
        <v>29.0</v>
      </c>
      <c r="W7" s="46"/>
      <c r="X7" s="44">
        <f t="shared" si="3"/>
        <v>139.1</v>
      </c>
      <c r="Y7" s="44"/>
      <c r="Z7" s="44"/>
      <c r="AA7" s="44">
        <f t="shared" si="1"/>
        <v>312.1</v>
      </c>
      <c r="AB7" s="44"/>
      <c r="AC7" s="44">
        <f t="shared" si="2"/>
        <v>1175.28</v>
      </c>
      <c r="AD7" s="60"/>
    </row>
    <row r="8" ht="14.25" customHeight="1">
      <c r="A8" s="47">
        <v>45815.0</v>
      </c>
      <c r="B8" s="53">
        <v>517.4</v>
      </c>
      <c r="C8" s="53">
        <v>7.0</v>
      </c>
      <c r="D8" s="53">
        <v>70.0</v>
      </c>
      <c r="E8" s="44"/>
      <c r="F8" s="53">
        <v>10.8</v>
      </c>
      <c r="G8" s="44"/>
      <c r="H8" s="44"/>
      <c r="I8" s="44"/>
      <c r="J8" s="44"/>
      <c r="K8" s="44"/>
      <c r="L8" s="44"/>
      <c r="M8" s="44"/>
      <c r="N8" s="53"/>
      <c r="O8" s="44"/>
      <c r="P8" s="44"/>
      <c r="Q8" s="44"/>
      <c r="R8" s="53">
        <v>350.0</v>
      </c>
      <c r="S8" s="44"/>
      <c r="T8" s="44"/>
      <c r="U8" s="44"/>
      <c r="V8" s="53">
        <v>24.0</v>
      </c>
      <c r="W8" s="54"/>
      <c r="X8" s="44">
        <f t="shared" si="3"/>
        <v>437.8</v>
      </c>
      <c r="Y8" s="44"/>
      <c r="Z8" s="44"/>
      <c r="AA8" s="44">
        <f t="shared" si="1"/>
        <v>79.6</v>
      </c>
      <c r="AB8" s="44"/>
      <c r="AC8" s="44">
        <f t="shared" si="2"/>
        <v>1254.88</v>
      </c>
      <c r="AD8" s="60"/>
    </row>
    <row r="9" ht="14.25" customHeight="1">
      <c r="A9" s="48">
        <v>45816.0</v>
      </c>
      <c r="B9" s="51">
        <v>572.0</v>
      </c>
      <c r="C9" s="51">
        <v>7.0</v>
      </c>
      <c r="D9" s="51">
        <v>65.0</v>
      </c>
      <c r="E9" s="50"/>
      <c r="F9" s="50"/>
      <c r="G9" s="50"/>
      <c r="H9" s="50"/>
      <c r="I9" s="50"/>
      <c r="J9" s="50"/>
      <c r="K9" s="50"/>
      <c r="L9" s="50"/>
      <c r="M9" s="50"/>
      <c r="N9" s="78"/>
      <c r="O9" s="50"/>
      <c r="P9" s="50"/>
      <c r="Q9" s="50"/>
      <c r="R9" s="50"/>
      <c r="S9" s="50"/>
      <c r="T9" s="50"/>
      <c r="U9" s="50"/>
      <c r="V9" s="51">
        <v>30.0</v>
      </c>
      <c r="W9" s="52"/>
      <c r="X9" s="50">
        <f t="shared" si="3"/>
        <v>72</v>
      </c>
      <c r="Y9" s="50">
        <f>sum(B3:B9)</f>
        <v>3181.21</v>
      </c>
      <c r="Z9" s="50">
        <f>sum(X3:X9)</f>
        <v>1577.21</v>
      </c>
      <c r="AA9" s="50">
        <f t="shared" si="1"/>
        <v>500</v>
      </c>
      <c r="AB9" s="50">
        <f>sum(AA3:AA9)</f>
        <v>1604</v>
      </c>
      <c r="AC9" s="50">
        <f t="shared" si="2"/>
        <v>1754.88</v>
      </c>
      <c r="AD9" s="61"/>
    </row>
    <row r="10" ht="14.25" customHeight="1">
      <c r="A10" s="74">
        <v>45817.0</v>
      </c>
      <c r="B10" s="75">
        <f>440.6+286.56</f>
        <v>727.16</v>
      </c>
      <c r="C10" s="75">
        <v>7.0</v>
      </c>
      <c r="D10" s="75">
        <v>60.0</v>
      </c>
      <c r="E10" s="76"/>
      <c r="F10" s="75">
        <v>14.0</v>
      </c>
      <c r="G10" s="76"/>
      <c r="H10" s="76"/>
      <c r="I10" s="76"/>
      <c r="J10" s="76"/>
      <c r="K10" s="75">
        <v>8.4</v>
      </c>
      <c r="L10" s="75"/>
      <c r="M10" s="76"/>
      <c r="N10" s="76"/>
      <c r="O10" s="76"/>
      <c r="P10" s="76"/>
      <c r="Q10" s="76"/>
      <c r="R10" s="76"/>
      <c r="S10" s="76"/>
      <c r="T10" s="76"/>
      <c r="U10" s="76"/>
      <c r="V10" s="75">
        <v>43.0</v>
      </c>
      <c r="W10" s="77" t="s">
        <v>93</v>
      </c>
      <c r="X10" s="44">
        <f t="shared" si="3"/>
        <v>89.4</v>
      </c>
      <c r="Y10" s="76"/>
      <c r="Z10" s="76"/>
      <c r="AA10" s="76">
        <f t="shared" si="1"/>
        <v>637.76</v>
      </c>
      <c r="AB10" s="76"/>
      <c r="AC10" s="44">
        <f t="shared" si="2"/>
        <v>2392.64</v>
      </c>
      <c r="AD10" s="60"/>
    </row>
    <row r="11" ht="14.25" customHeight="1">
      <c r="A11" s="47">
        <v>45818.0</v>
      </c>
      <c r="B11" s="53">
        <v>402.4</v>
      </c>
      <c r="C11" s="53">
        <v>7.0</v>
      </c>
      <c r="D11" s="53">
        <v>68.0</v>
      </c>
      <c r="E11" s="53">
        <v>65.0</v>
      </c>
      <c r="F11" s="53">
        <v>11.9</v>
      </c>
      <c r="G11" s="53">
        <v>6.0</v>
      </c>
      <c r="H11" s="44"/>
      <c r="I11" s="53">
        <f>3+2.4+3.5</f>
        <v>8.9</v>
      </c>
      <c r="J11" s="44"/>
      <c r="K11" s="44"/>
      <c r="L11" s="53"/>
      <c r="M11" s="44"/>
      <c r="N11" s="44"/>
      <c r="O11" s="44"/>
      <c r="P11" s="44"/>
      <c r="Q11" s="44"/>
      <c r="R11" s="44"/>
      <c r="S11" s="44"/>
      <c r="T11" s="44"/>
      <c r="U11" s="53">
        <v>32.8</v>
      </c>
      <c r="V11" s="53">
        <v>18.0</v>
      </c>
      <c r="W11" s="54" t="s">
        <v>94</v>
      </c>
      <c r="X11" s="44">
        <f t="shared" si="3"/>
        <v>199.6</v>
      </c>
      <c r="Y11" s="44"/>
      <c r="Z11" s="44"/>
      <c r="AA11" s="44">
        <f t="shared" si="1"/>
        <v>202.8</v>
      </c>
      <c r="AB11" s="44"/>
      <c r="AC11" s="44">
        <f t="shared" si="2"/>
        <v>2595.44</v>
      </c>
      <c r="AD11" s="60"/>
    </row>
    <row r="12" ht="14.25" customHeight="1">
      <c r="A12" s="47">
        <v>45819.0</v>
      </c>
      <c r="B12" s="53">
        <v>216.0</v>
      </c>
      <c r="C12" s="53">
        <v>7.0</v>
      </c>
      <c r="D12" s="53">
        <v>65.0</v>
      </c>
      <c r="E12" s="44"/>
      <c r="F12" s="53">
        <v>13.5</v>
      </c>
      <c r="G12" s="53">
        <v>10.0</v>
      </c>
      <c r="H12" s="44"/>
      <c r="I12" s="53">
        <v>3.5</v>
      </c>
      <c r="J12" s="44"/>
      <c r="K12" s="53">
        <v>12.45</v>
      </c>
      <c r="L12" s="53"/>
      <c r="M12" s="44"/>
      <c r="N12" s="44"/>
      <c r="O12" s="44"/>
      <c r="P12" s="44"/>
      <c r="Q12" s="44"/>
      <c r="R12" s="44"/>
      <c r="S12" s="44"/>
      <c r="T12" s="44"/>
      <c r="U12" s="53">
        <v>10.0</v>
      </c>
      <c r="V12" s="53">
        <v>21.0</v>
      </c>
      <c r="W12" s="54" t="s">
        <v>95</v>
      </c>
      <c r="X12" s="44">
        <f t="shared" si="3"/>
        <v>121.45</v>
      </c>
      <c r="Y12" s="44"/>
      <c r="Z12" s="44"/>
      <c r="AA12" s="44">
        <f t="shared" si="1"/>
        <v>94.55</v>
      </c>
      <c r="AB12" s="44"/>
      <c r="AC12" s="44">
        <f t="shared" si="2"/>
        <v>2689.99</v>
      </c>
      <c r="AD12" s="60"/>
    </row>
    <row r="13" ht="14.25" customHeight="1">
      <c r="A13" s="47">
        <v>45820.0</v>
      </c>
      <c r="B13" s="53">
        <v>231.0</v>
      </c>
      <c r="C13" s="53">
        <v>7.0</v>
      </c>
      <c r="D13" s="53">
        <v>65.0</v>
      </c>
      <c r="E13" s="44"/>
      <c r="F13" s="53">
        <v>11.0</v>
      </c>
      <c r="G13" s="53">
        <v>11.15</v>
      </c>
      <c r="H13" s="44"/>
      <c r="I13" s="53">
        <v>3.2</v>
      </c>
      <c r="J13" s="53">
        <f>220+180</f>
        <v>400</v>
      </c>
      <c r="K13" s="53">
        <f>13+4.9</f>
        <v>17.9</v>
      </c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53">
        <v>16.0</v>
      </c>
      <c r="W13" s="54" t="s">
        <v>96</v>
      </c>
      <c r="X13" s="44">
        <f t="shared" si="3"/>
        <v>515.25</v>
      </c>
      <c r="Y13" s="44"/>
      <c r="Z13" s="44"/>
      <c r="AA13" s="44">
        <f t="shared" si="1"/>
        <v>-284.25</v>
      </c>
      <c r="AB13" s="44"/>
      <c r="AC13" s="44">
        <f t="shared" si="2"/>
        <v>2405.74</v>
      </c>
      <c r="AD13" s="62">
        <v>2330.0</v>
      </c>
    </row>
    <row r="14" ht="14.25" customHeight="1">
      <c r="A14" s="47">
        <v>45821.0</v>
      </c>
      <c r="B14" s="53">
        <v>204.88</v>
      </c>
      <c r="C14" s="53">
        <v>7.0</v>
      </c>
      <c r="D14" s="53">
        <v>60.0</v>
      </c>
      <c r="E14" s="44"/>
      <c r="F14" s="53">
        <v>12.0</v>
      </c>
      <c r="G14" s="53">
        <v>15.6</v>
      </c>
      <c r="H14" s="44"/>
      <c r="I14" s="53">
        <v>3.2</v>
      </c>
      <c r="J14" s="44"/>
      <c r="K14" s="53">
        <v>5.8</v>
      </c>
      <c r="L14" s="44"/>
      <c r="M14" s="44"/>
      <c r="N14" s="44"/>
      <c r="O14" s="44"/>
      <c r="P14" s="44"/>
      <c r="Q14" s="53">
        <v>12.0</v>
      </c>
      <c r="R14" s="44"/>
      <c r="S14" s="44"/>
      <c r="T14" s="44"/>
      <c r="U14" s="44"/>
      <c r="V14" s="53">
        <v>15.0</v>
      </c>
      <c r="W14" s="46"/>
      <c r="X14" s="44">
        <f t="shared" si="3"/>
        <v>115.6</v>
      </c>
      <c r="Y14" s="44"/>
      <c r="Z14" s="44"/>
      <c r="AA14" s="44">
        <f t="shared" si="1"/>
        <v>89.28</v>
      </c>
      <c r="AB14" s="44"/>
      <c r="AC14" s="44">
        <f t="shared" si="2"/>
        <v>2495.02</v>
      </c>
      <c r="AD14" s="60"/>
    </row>
    <row r="15" ht="14.25" customHeight="1">
      <c r="A15" s="47">
        <v>45822.0</v>
      </c>
      <c r="B15" s="53">
        <v>202.0</v>
      </c>
      <c r="C15" s="53">
        <v>7.0</v>
      </c>
      <c r="D15" s="53">
        <v>60.0</v>
      </c>
      <c r="E15" s="44"/>
      <c r="F15" s="53">
        <v>5.6</v>
      </c>
      <c r="G15" s="44">
        <f>10.9+2.4</f>
        <v>13.3</v>
      </c>
      <c r="H15" s="44"/>
      <c r="I15" s="53">
        <v>2.0</v>
      </c>
      <c r="J15" s="44"/>
      <c r="K15" s="53">
        <v>83.0</v>
      </c>
      <c r="L15" s="53"/>
      <c r="M15" s="44"/>
      <c r="N15" s="44"/>
      <c r="O15" s="44"/>
      <c r="P15" s="44"/>
      <c r="Q15" s="44"/>
      <c r="R15" s="44"/>
      <c r="S15" s="44"/>
      <c r="T15" s="44"/>
      <c r="U15" s="44"/>
      <c r="V15" s="53">
        <v>13.0</v>
      </c>
      <c r="W15" s="54" t="s">
        <v>97</v>
      </c>
      <c r="X15" s="44">
        <f t="shared" si="3"/>
        <v>170.9</v>
      </c>
      <c r="Y15" s="44"/>
      <c r="Z15" s="44"/>
      <c r="AA15" s="44">
        <f t="shared" si="1"/>
        <v>31.1</v>
      </c>
      <c r="AB15" s="44"/>
      <c r="AC15" s="44">
        <f t="shared" si="2"/>
        <v>2526.12</v>
      </c>
      <c r="AD15" s="60"/>
    </row>
    <row r="16" ht="14.25" customHeight="1">
      <c r="A16" s="48">
        <v>45823.0</v>
      </c>
      <c r="B16" s="51">
        <v>202.4</v>
      </c>
      <c r="C16" s="51">
        <v>7.0</v>
      </c>
      <c r="D16" s="51">
        <v>60.0</v>
      </c>
      <c r="E16" s="50"/>
      <c r="F16" s="50">
        <f>29</f>
        <v>29</v>
      </c>
      <c r="G16" s="50">
        <f>9.8+5</f>
        <v>14.8</v>
      </c>
      <c r="H16" s="50"/>
      <c r="I16" s="51">
        <v>4.51</v>
      </c>
      <c r="J16" s="50"/>
      <c r="K16" s="51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1">
        <v>15.0</v>
      </c>
      <c r="W16" s="55" t="s">
        <v>98</v>
      </c>
      <c r="X16" s="50">
        <f t="shared" si="3"/>
        <v>115.31</v>
      </c>
      <c r="Y16" s="50">
        <f>sum(B10:B16)</f>
        <v>2185.84</v>
      </c>
      <c r="Z16" s="50">
        <f>sum(X10:X16)</f>
        <v>1327.51</v>
      </c>
      <c r="AA16" s="50">
        <f t="shared" si="1"/>
        <v>87.09</v>
      </c>
      <c r="AB16" s="50">
        <f>sum(AA10:AA16)</f>
        <v>858.33</v>
      </c>
      <c r="AC16" s="50">
        <f t="shared" si="2"/>
        <v>2613.21</v>
      </c>
      <c r="AD16" s="61"/>
    </row>
    <row r="17" ht="14.25" customHeight="1">
      <c r="A17" s="74">
        <v>45824.0</v>
      </c>
      <c r="B17" s="75">
        <v>276.17</v>
      </c>
      <c r="C17" s="75">
        <v>7.0</v>
      </c>
      <c r="D17" s="75">
        <v>55.0</v>
      </c>
      <c r="E17" s="76"/>
      <c r="F17" s="75">
        <v>12.0</v>
      </c>
      <c r="G17" s="75">
        <v>11.5</v>
      </c>
      <c r="H17" s="76"/>
      <c r="I17" s="75">
        <v>6.0</v>
      </c>
      <c r="J17" s="75">
        <f>320+40</f>
        <v>360</v>
      </c>
      <c r="K17" s="76"/>
      <c r="L17" s="75"/>
      <c r="M17" s="76"/>
      <c r="N17" s="75">
        <v>35.0</v>
      </c>
      <c r="O17" s="76"/>
      <c r="P17" s="76"/>
      <c r="Q17" s="76"/>
      <c r="R17" s="76"/>
      <c r="S17" s="76"/>
      <c r="T17" s="76"/>
      <c r="U17" s="76"/>
      <c r="V17" s="75">
        <v>13.0</v>
      </c>
      <c r="W17" s="77" t="s">
        <v>99</v>
      </c>
      <c r="X17" s="44">
        <f t="shared" si="3"/>
        <v>486.5</v>
      </c>
      <c r="Y17" s="76"/>
      <c r="Z17" s="76"/>
      <c r="AA17" s="76">
        <f t="shared" si="1"/>
        <v>-210.33</v>
      </c>
      <c r="AB17" s="76"/>
      <c r="AC17" s="44">
        <f t="shared" si="2"/>
        <v>2402.88</v>
      </c>
      <c r="AD17" s="60"/>
    </row>
    <row r="18" ht="14.25" customHeight="1">
      <c r="A18" s="47">
        <v>45825.0</v>
      </c>
      <c r="B18" s="53">
        <v>205.6</v>
      </c>
      <c r="C18" s="53">
        <v>7.0</v>
      </c>
      <c r="D18" s="53">
        <v>55.0</v>
      </c>
      <c r="E18" s="44"/>
      <c r="F18" s="53">
        <v>15.0</v>
      </c>
      <c r="G18" s="53">
        <v>19.0</v>
      </c>
      <c r="H18" s="44"/>
      <c r="I18" s="44"/>
      <c r="J18" s="44"/>
      <c r="K18" s="53">
        <v>7.6</v>
      </c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53">
        <v>20.0</v>
      </c>
      <c r="W18" s="46"/>
      <c r="X18" s="44">
        <f t="shared" si="3"/>
        <v>103.6</v>
      </c>
      <c r="Y18" s="44"/>
      <c r="Z18" s="44"/>
      <c r="AA18" s="44">
        <f t="shared" si="1"/>
        <v>102</v>
      </c>
      <c r="AB18" s="44"/>
      <c r="AC18" s="44">
        <f t="shared" si="2"/>
        <v>2504.88</v>
      </c>
      <c r="AD18" s="60"/>
    </row>
    <row r="19" ht="14.25" customHeight="1">
      <c r="A19" s="47">
        <v>45826.0</v>
      </c>
      <c r="B19" s="53">
        <v>256.24</v>
      </c>
      <c r="C19" s="53">
        <v>7.0</v>
      </c>
      <c r="D19" s="53">
        <v>60.0</v>
      </c>
      <c r="E19" s="44"/>
      <c r="F19" s="53">
        <v>5.0</v>
      </c>
      <c r="G19" s="53">
        <v>13.5</v>
      </c>
      <c r="H19" s="44"/>
      <c r="I19" s="53">
        <v>6.0</v>
      </c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53">
        <v>20.0</v>
      </c>
      <c r="W19" s="46"/>
      <c r="X19" s="44">
        <f t="shared" si="3"/>
        <v>91.5</v>
      </c>
      <c r="Y19" s="44"/>
      <c r="Z19" s="44"/>
      <c r="AA19" s="44">
        <f t="shared" si="1"/>
        <v>164.74</v>
      </c>
      <c r="AB19" s="44"/>
      <c r="AC19" s="44">
        <f t="shared" si="2"/>
        <v>2669.62</v>
      </c>
      <c r="AD19" s="60"/>
    </row>
    <row r="20" ht="14.25" customHeight="1">
      <c r="A20" s="47">
        <v>45827.0</v>
      </c>
      <c r="B20" s="53">
        <v>244.0</v>
      </c>
      <c r="C20" s="53">
        <v>7.0</v>
      </c>
      <c r="D20" s="53">
        <v>55.0</v>
      </c>
      <c r="E20" s="44"/>
      <c r="F20" s="53">
        <v>10.0</v>
      </c>
      <c r="G20" s="53">
        <v>11.9</v>
      </c>
      <c r="H20" s="44"/>
      <c r="I20" s="53">
        <v>6.0</v>
      </c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53">
        <v>19.0</v>
      </c>
      <c r="W20" s="46"/>
      <c r="X20" s="44">
        <f t="shared" si="3"/>
        <v>89.9</v>
      </c>
      <c r="Y20" s="44"/>
      <c r="Z20" s="44"/>
      <c r="AA20" s="44">
        <f t="shared" si="1"/>
        <v>154.1</v>
      </c>
      <c r="AB20" s="44"/>
      <c r="AC20" s="44">
        <f t="shared" si="2"/>
        <v>2823.72</v>
      </c>
      <c r="AD20" s="60"/>
    </row>
    <row r="21" ht="14.25" customHeight="1">
      <c r="A21" s="47">
        <v>45828.0</v>
      </c>
      <c r="B21" s="53">
        <v>279.2</v>
      </c>
      <c r="C21" s="53">
        <v>7.0</v>
      </c>
      <c r="D21" s="53">
        <v>55.0</v>
      </c>
      <c r="E21" s="44"/>
      <c r="F21" s="53">
        <v>12.0</v>
      </c>
      <c r="G21" s="53">
        <v>15.5</v>
      </c>
      <c r="H21" s="44"/>
      <c r="I21" s="53">
        <v>3.5</v>
      </c>
      <c r="J21" s="44"/>
      <c r="K21" s="53">
        <v>5.9</v>
      </c>
      <c r="L21" s="44"/>
      <c r="M21" s="44"/>
      <c r="N21" s="53"/>
      <c r="O21" s="44"/>
      <c r="P21" s="44"/>
      <c r="Q21" s="44"/>
      <c r="R21" s="44"/>
      <c r="S21" s="44"/>
      <c r="T21" s="44"/>
      <c r="U21" s="44"/>
      <c r="V21" s="53">
        <v>20.0</v>
      </c>
      <c r="W21" s="54"/>
      <c r="X21" s="44">
        <f t="shared" si="3"/>
        <v>98.9</v>
      </c>
      <c r="Y21" s="44"/>
      <c r="Z21" s="44"/>
      <c r="AA21" s="44">
        <f t="shared" si="1"/>
        <v>180.3</v>
      </c>
      <c r="AB21" s="44"/>
      <c r="AC21" s="44">
        <f t="shared" si="2"/>
        <v>3004.02</v>
      </c>
      <c r="AD21" s="60"/>
    </row>
    <row r="22" ht="14.25" customHeight="1">
      <c r="A22" s="47">
        <v>45829.0</v>
      </c>
      <c r="B22" s="53">
        <v>206.68</v>
      </c>
      <c r="C22" s="53">
        <v>7.0</v>
      </c>
      <c r="D22" s="53">
        <v>60.0</v>
      </c>
      <c r="E22" s="44"/>
      <c r="F22" s="53">
        <v>11.5</v>
      </c>
      <c r="G22" s="44"/>
      <c r="H22" s="44"/>
      <c r="I22" s="53">
        <v>3.5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53">
        <v>16.0</v>
      </c>
      <c r="W22" s="46"/>
      <c r="X22" s="44">
        <f t="shared" si="3"/>
        <v>82</v>
      </c>
      <c r="Y22" s="44"/>
      <c r="Z22" s="44"/>
      <c r="AA22" s="44">
        <f t="shared" si="1"/>
        <v>124.68</v>
      </c>
      <c r="AB22" s="44"/>
      <c r="AC22" s="44">
        <f t="shared" si="2"/>
        <v>3128.7</v>
      </c>
      <c r="AD22" s="60"/>
    </row>
    <row r="23" ht="14.25" customHeight="1">
      <c r="A23" s="48">
        <v>45830.0</v>
      </c>
      <c r="B23" s="51">
        <v>313.6</v>
      </c>
      <c r="C23" s="51">
        <v>7.0</v>
      </c>
      <c r="D23" s="51">
        <v>65.0</v>
      </c>
      <c r="E23" s="50"/>
      <c r="F23" s="51">
        <v>5.0</v>
      </c>
      <c r="G23" s="51">
        <v>18.0</v>
      </c>
      <c r="H23" s="50"/>
      <c r="I23" s="51">
        <v>7.46</v>
      </c>
      <c r="J23" s="50"/>
      <c r="K23" s="51">
        <v>7.5</v>
      </c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1">
        <v>25.0</v>
      </c>
      <c r="W23" s="52"/>
      <c r="X23" s="50">
        <f t="shared" si="3"/>
        <v>109.96</v>
      </c>
      <c r="Y23" s="50">
        <f>sum(B17:B23)</f>
        <v>1781.49</v>
      </c>
      <c r="Z23" s="50">
        <f>sum(X17:X23)</f>
        <v>1062.36</v>
      </c>
      <c r="AA23" s="50">
        <f t="shared" si="1"/>
        <v>203.64</v>
      </c>
      <c r="AB23" s="50">
        <f>sum(AA17:AA23)</f>
        <v>719.13</v>
      </c>
      <c r="AC23" s="50">
        <f t="shared" si="2"/>
        <v>3332.34</v>
      </c>
      <c r="AD23" s="61"/>
    </row>
    <row r="24" ht="14.25" customHeight="1">
      <c r="A24" s="74">
        <v>45831.0</v>
      </c>
      <c r="B24" s="75">
        <v>293.2</v>
      </c>
      <c r="C24" s="75">
        <v>7.0</v>
      </c>
      <c r="D24" s="75">
        <v>68.0</v>
      </c>
      <c r="E24" s="76"/>
      <c r="F24" s="75">
        <v>6.0</v>
      </c>
      <c r="G24" s="75">
        <v>12.0</v>
      </c>
      <c r="H24" s="76"/>
      <c r="I24" s="75">
        <f>3.5+3.2</f>
        <v>6.7</v>
      </c>
      <c r="J24" s="76"/>
      <c r="K24" s="75">
        <v>10.1</v>
      </c>
      <c r="L24" s="76"/>
      <c r="M24" s="76"/>
      <c r="N24" s="76"/>
      <c r="O24" s="75"/>
      <c r="P24" s="76"/>
      <c r="Q24" s="76"/>
      <c r="R24" s="76"/>
      <c r="S24" s="76"/>
      <c r="T24" s="76"/>
      <c r="U24" s="76"/>
      <c r="V24" s="75">
        <v>22.0</v>
      </c>
      <c r="W24" s="77"/>
      <c r="X24" s="44">
        <f t="shared" si="3"/>
        <v>109.8</v>
      </c>
      <c r="Y24" s="76"/>
      <c r="Z24" s="76"/>
      <c r="AA24" s="76">
        <f t="shared" si="1"/>
        <v>183.4</v>
      </c>
      <c r="AB24" s="76"/>
      <c r="AC24" s="44">
        <f t="shared" si="2"/>
        <v>3515.74</v>
      </c>
      <c r="AD24" s="60"/>
    </row>
    <row r="25" ht="14.25" customHeight="1">
      <c r="A25" s="47">
        <v>45832.0</v>
      </c>
      <c r="B25" s="53">
        <v>337.6</v>
      </c>
      <c r="C25" s="53">
        <v>7.0</v>
      </c>
      <c r="D25" s="53">
        <v>60.0</v>
      </c>
      <c r="E25" s="44"/>
      <c r="F25" s="53">
        <v>10.0</v>
      </c>
      <c r="G25" s="53">
        <f>12.5+9</f>
        <v>21.5</v>
      </c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53">
        <v>25.0</v>
      </c>
      <c r="W25" s="46"/>
      <c r="X25" s="44">
        <f t="shared" si="3"/>
        <v>98.5</v>
      </c>
      <c r="Y25" s="44"/>
      <c r="Z25" s="44"/>
      <c r="AA25" s="44">
        <f t="shared" si="1"/>
        <v>239.1</v>
      </c>
      <c r="AB25" s="44"/>
      <c r="AC25" s="44">
        <f t="shared" si="2"/>
        <v>3754.84</v>
      </c>
      <c r="AD25" s="62">
        <v>1500.0</v>
      </c>
    </row>
    <row r="26" ht="14.25" customHeight="1">
      <c r="A26" s="47">
        <v>45833.0</v>
      </c>
      <c r="B26" s="53">
        <v>320.0</v>
      </c>
      <c r="C26" s="53">
        <v>7.0</v>
      </c>
      <c r="D26" s="53">
        <v>60.0</v>
      </c>
      <c r="E26" s="44"/>
      <c r="F26" s="53">
        <v>13.5</v>
      </c>
      <c r="G26" s="53">
        <v>14.8</v>
      </c>
      <c r="H26" s="44"/>
      <c r="I26" s="44"/>
      <c r="J26" s="44"/>
      <c r="K26" s="44"/>
      <c r="L26" s="53"/>
      <c r="M26" s="44"/>
      <c r="N26" s="44"/>
      <c r="O26" s="44"/>
      <c r="P26" s="44"/>
      <c r="Q26" s="44"/>
      <c r="R26" s="44"/>
      <c r="S26" s="44"/>
      <c r="T26" s="44"/>
      <c r="U26" s="44"/>
      <c r="V26" s="53">
        <v>26.0</v>
      </c>
      <c r="W26" s="54"/>
      <c r="X26" s="44">
        <f t="shared" si="3"/>
        <v>95.3</v>
      </c>
      <c r="Y26" s="44"/>
      <c r="Z26" s="44"/>
      <c r="AA26" s="44">
        <f t="shared" si="1"/>
        <v>224.7</v>
      </c>
      <c r="AB26" s="44"/>
      <c r="AC26" s="44">
        <f t="shared" si="2"/>
        <v>3979.54</v>
      </c>
      <c r="AD26" s="60"/>
    </row>
    <row r="27" ht="14.25" customHeight="1">
      <c r="A27" s="47">
        <v>45834.0</v>
      </c>
      <c r="B27" s="53">
        <v>450.4</v>
      </c>
      <c r="C27" s="53">
        <v>7.0</v>
      </c>
      <c r="D27" s="53">
        <v>65.0</v>
      </c>
      <c r="E27" s="44"/>
      <c r="F27" s="53">
        <v>11.0</v>
      </c>
      <c r="G27" s="53">
        <v>8.0</v>
      </c>
      <c r="H27" s="44"/>
      <c r="I27" s="44"/>
      <c r="J27" s="44"/>
      <c r="K27" s="53">
        <v>9.7</v>
      </c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53">
        <v>28.0</v>
      </c>
      <c r="W27" s="46"/>
      <c r="X27" s="44">
        <f t="shared" si="3"/>
        <v>100.7</v>
      </c>
      <c r="Y27" s="44"/>
      <c r="Z27" s="44"/>
      <c r="AA27" s="44">
        <f t="shared" si="1"/>
        <v>349.7</v>
      </c>
      <c r="AB27" s="44"/>
      <c r="AC27" s="44">
        <f t="shared" si="2"/>
        <v>4329.24</v>
      </c>
      <c r="AD27" s="60"/>
    </row>
    <row r="28" ht="14.25" customHeight="1">
      <c r="A28" s="47">
        <v>45835.0</v>
      </c>
      <c r="B28" s="53">
        <v>211.8</v>
      </c>
      <c r="C28" s="53">
        <v>7.0</v>
      </c>
      <c r="D28" s="53">
        <v>55.0</v>
      </c>
      <c r="E28" s="44"/>
      <c r="F28" s="53">
        <v>11.5</v>
      </c>
      <c r="G28" s="53">
        <v>11.5</v>
      </c>
      <c r="H28" s="44"/>
      <c r="I28" s="44">
        <f>3.2+2.1+2.1+3.2</f>
        <v>10.6</v>
      </c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53">
        <v>17.0</v>
      </c>
      <c r="W28" s="46"/>
      <c r="X28" s="44">
        <f t="shared" si="3"/>
        <v>95.6</v>
      </c>
      <c r="Y28" s="44"/>
      <c r="Z28" s="44"/>
      <c r="AA28" s="44">
        <f t="shared" si="1"/>
        <v>116.2</v>
      </c>
      <c r="AB28" s="44"/>
      <c r="AC28" s="44">
        <f t="shared" si="2"/>
        <v>4445.44</v>
      </c>
      <c r="AD28" s="60"/>
    </row>
    <row r="29" ht="14.25" customHeight="1">
      <c r="A29" s="47">
        <v>45836.0</v>
      </c>
      <c r="B29" s="53">
        <v>359.6</v>
      </c>
      <c r="C29" s="53">
        <v>7.0</v>
      </c>
      <c r="D29" s="53">
        <v>65.0</v>
      </c>
      <c r="E29" s="44"/>
      <c r="F29" s="53">
        <v>10.5</v>
      </c>
      <c r="G29" s="53">
        <v>15.0</v>
      </c>
      <c r="H29" s="44"/>
      <c r="I29" s="53">
        <v>3.2</v>
      </c>
      <c r="J29" s="44"/>
      <c r="K29" s="44">
        <f>6.2+18.9+15+4.1</f>
        <v>44.2</v>
      </c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53">
        <v>26.0</v>
      </c>
      <c r="W29" s="54" t="s">
        <v>100</v>
      </c>
      <c r="X29" s="44">
        <f t="shared" si="3"/>
        <v>144.9</v>
      </c>
      <c r="Y29" s="44"/>
      <c r="Z29" s="44"/>
      <c r="AA29" s="44">
        <f t="shared" si="1"/>
        <v>214.7</v>
      </c>
      <c r="AB29" s="44"/>
      <c r="AC29" s="44">
        <f t="shared" si="2"/>
        <v>4660.14</v>
      </c>
      <c r="AD29" s="62">
        <v>1150.0</v>
      </c>
    </row>
    <row r="30" ht="14.25" customHeight="1">
      <c r="A30" s="48">
        <v>45837.0</v>
      </c>
      <c r="B30" s="51">
        <v>311.6</v>
      </c>
      <c r="C30" s="51">
        <v>7.0</v>
      </c>
      <c r="D30" s="51">
        <v>55.0</v>
      </c>
      <c r="E30" s="50"/>
      <c r="F30" s="51">
        <v>10.0</v>
      </c>
      <c r="G30" s="51">
        <v>11.4</v>
      </c>
      <c r="H30" s="50"/>
      <c r="I30" s="50"/>
      <c r="J30" s="50"/>
      <c r="K30" s="51">
        <v>16.05</v>
      </c>
      <c r="L30" s="50"/>
      <c r="M30" s="50"/>
      <c r="N30" s="50"/>
      <c r="O30" s="51">
        <v>11.2</v>
      </c>
      <c r="P30" s="50"/>
      <c r="Q30" s="50"/>
      <c r="R30" s="50"/>
      <c r="S30" s="50"/>
      <c r="T30" s="50"/>
      <c r="U30" s="50"/>
      <c r="V30" s="51">
        <v>27.0</v>
      </c>
      <c r="W30" s="52"/>
      <c r="X30" s="50">
        <f t="shared" si="3"/>
        <v>110.65</v>
      </c>
      <c r="Y30" s="50">
        <f>sum(B24:B30)</f>
        <v>2284.2</v>
      </c>
      <c r="Z30" s="50">
        <f>sum(X24:X30)</f>
        <v>755.45</v>
      </c>
      <c r="AA30" s="50">
        <f t="shared" si="1"/>
        <v>200.95</v>
      </c>
      <c r="AB30" s="50">
        <f>sum(AA24:AA30)</f>
        <v>1528.75</v>
      </c>
      <c r="AC30" s="50">
        <f t="shared" si="2"/>
        <v>4861.09</v>
      </c>
      <c r="AD30" s="61"/>
    </row>
    <row r="31" ht="14.25" customHeight="1">
      <c r="A31" s="47">
        <v>45838.0</v>
      </c>
      <c r="B31" s="53">
        <v>480.96</v>
      </c>
      <c r="C31" s="53">
        <v>7.0</v>
      </c>
      <c r="D31" s="53">
        <v>55.0</v>
      </c>
      <c r="E31" s="44"/>
      <c r="F31" s="53">
        <v>14.1</v>
      </c>
      <c r="G31" s="53">
        <v>12.0</v>
      </c>
      <c r="H31" s="44"/>
      <c r="I31" s="53">
        <v>3.2</v>
      </c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53">
        <v>27.0</v>
      </c>
      <c r="W31" s="46"/>
      <c r="X31" s="44">
        <f t="shared" si="3"/>
        <v>91.3</v>
      </c>
      <c r="Y31" s="44">
        <f>sum(B31)</f>
        <v>480.96</v>
      </c>
      <c r="Z31" s="44">
        <f>sum(X31)</f>
        <v>91.3</v>
      </c>
      <c r="AA31" s="44">
        <f t="shared" si="1"/>
        <v>389.66</v>
      </c>
      <c r="AB31" s="44">
        <f>AA31</f>
        <v>389.66</v>
      </c>
      <c r="AC31" s="44">
        <f t="shared" si="2"/>
        <v>5250.75</v>
      </c>
      <c r="AD31" s="60"/>
    </row>
    <row r="32" ht="14.25" customHeight="1">
      <c r="A32" s="47"/>
      <c r="B32" s="53"/>
      <c r="C32" s="44"/>
      <c r="D32" s="44"/>
      <c r="E32" s="44"/>
      <c r="F32" s="53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6"/>
      <c r="X32" s="44"/>
      <c r="Y32" s="44"/>
      <c r="Z32" s="44"/>
      <c r="AA32" s="44"/>
      <c r="AB32" s="44"/>
      <c r="AC32" s="44"/>
      <c r="AD32" s="60"/>
    </row>
    <row r="33" ht="14.2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6"/>
      <c r="X33" s="44"/>
      <c r="Y33" s="44"/>
      <c r="Z33" s="44"/>
      <c r="AA33" s="44"/>
      <c r="AB33" s="44"/>
      <c r="AC33" s="44"/>
      <c r="AD33" s="60"/>
    </row>
    <row r="34" ht="14.25" customHeight="1">
      <c r="A34" s="44" t="str">
        <f>count(B2:B31,"number")&amp;" "&amp;"/"&amp;" "&amp;countif(B2:B31,"")</f>
        <v>30 / 0</v>
      </c>
      <c r="B34" s="44">
        <f t="shared" ref="B34:U34" si="4">SUM(B2:B33)</f>
        <v>10166.5</v>
      </c>
      <c r="C34" s="44">
        <f t="shared" si="4"/>
        <v>210</v>
      </c>
      <c r="D34" s="44">
        <f t="shared" si="4"/>
        <v>1859</v>
      </c>
      <c r="E34" s="44">
        <f t="shared" si="4"/>
        <v>115</v>
      </c>
      <c r="F34" s="44">
        <f t="shared" si="4"/>
        <v>338.9</v>
      </c>
      <c r="G34" s="44">
        <f t="shared" si="4"/>
        <v>352.15</v>
      </c>
      <c r="H34" s="44">
        <f t="shared" si="4"/>
        <v>220</v>
      </c>
      <c r="I34" s="44">
        <f t="shared" si="4"/>
        <v>109.97</v>
      </c>
      <c r="J34" s="44">
        <f t="shared" si="4"/>
        <v>760</v>
      </c>
      <c r="K34" s="44">
        <f t="shared" si="4"/>
        <v>233.2</v>
      </c>
      <c r="L34" s="44">
        <f t="shared" si="4"/>
        <v>21.53</v>
      </c>
      <c r="M34" s="44">
        <f t="shared" si="4"/>
        <v>0</v>
      </c>
      <c r="N34" s="44">
        <f t="shared" si="4"/>
        <v>35</v>
      </c>
      <c r="O34" s="44">
        <f t="shared" si="4"/>
        <v>11.2</v>
      </c>
      <c r="P34" s="44">
        <f t="shared" si="4"/>
        <v>0</v>
      </c>
      <c r="Q34" s="44">
        <f t="shared" si="4"/>
        <v>12</v>
      </c>
      <c r="R34" s="44">
        <f t="shared" si="4"/>
        <v>350</v>
      </c>
      <c r="S34" s="44">
        <f t="shared" si="4"/>
        <v>0</v>
      </c>
      <c r="T34" s="44">
        <f t="shared" si="4"/>
        <v>200</v>
      </c>
      <c r="U34" s="44">
        <f t="shared" si="4"/>
        <v>62.8</v>
      </c>
      <c r="V34" s="44"/>
      <c r="W34" s="46"/>
      <c r="X34" s="44">
        <f>SUM(X2:X33)</f>
        <v>4915.75</v>
      </c>
      <c r="Y34" s="44"/>
      <c r="Z34" s="44"/>
      <c r="AA34" s="44"/>
      <c r="AB34" s="44"/>
      <c r="AC34" s="44"/>
      <c r="AD34" s="60"/>
    </row>
    <row r="35" ht="14.25" customHeight="1">
      <c r="A35" s="57" t="s">
        <v>62</v>
      </c>
      <c r="B35" s="65">
        <f>B34-(C34+D34+E34+F34+G34+H34+I34+J34+K34+L34+M34+N34+O34+P34+Q34+R34+S34+T34+U34)</f>
        <v>5275.75</v>
      </c>
      <c r="C35" s="44"/>
      <c r="D35" s="44">
        <f>D34+E34</f>
        <v>1974</v>
      </c>
      <c r="F35" s="44">
        <f>G34+F34</f>
        <v>691.05</v>
      </c>
      <c r="H35" s="44"/>
      <c r="I35" s="44"/>
      <c r="J35" s="66" t="s">
        <v>80</v>
      </c>
      <c r="K35" s="67" t="s">
        <v>81</v>
      </c>
      <c r="L35" s="68" t="s">
        <v>82</v>
      </c>
      <c r="M35" s="69" t="s">
        <v>83</v>
      </c>
      <c r="N35" s="70" t="s">
        <v>84</v>
      </c>
      <c r="O35" s="71" t="s">
        <v>85</v>
      </c>
      <c r="P35" s="44"/>
      <c r="Q35" s="44"/>
      <c r="R35" s="44"/>
      <c r="S35" s="44"/>
      <c r="T35" s="44"/>
      <c r="U35" s="44"/>
      <c r="V35" s="44"/>
      <c r="W35" s="46" t="s">
        <v>63</v>
      </c>
      <c r="X35" s="46"/>
      <c r="Y35" s="46"/>
      <c r="Z35" s="46"/>
      <c r="AA35" s="46"/>
      <c r="AB35" s="59">
        <f>B35/B34</f>
        <v>0.5189347366</v>
      </c>
      <c r="AC35" s="59"/>
      <c r="AD35" s="60"/>
    </row>
  </sheetData>
  <mergeCells count="4">
    <mergeCell ref="D1:E1"/>
    <mergeCell ref="F1:G1"/>
    <mergeCell ref="D35:E35"/>
    <mergeCell ref="F35:G35"/>
  </mergeCells>
  <conditionalFormatting sqref="AC2:AC32">
    <cfRule type="cellIs" dxfId="2" priority="1" operator="lessThan">
      <formula>1000</formula>
    </cfRule>
  </conditionalFormatting>
  <conditionalFormatting sqref="AC2:AC32">
    <cfRule type="cellIs" dxfId="3" priority="2" operator="lessThan">
      <formula>2000</formula>
    </cfRule>
  </conditionalFormatting>
  <conditionalFormatting sqref="AC2:AC32">
    <cfRule type="cellIs" dxfId="4" priority="3" operator="lessThan">
      <formula>3000</formula>
    </cfRule>
  </conditionalFormatting>
  <conditionalFormatting sqref="AC2:AC32">
    <cfRule type="cellIs" dxfId="5" priority="4" operator="lessThan">
      <formula>4000</formula>
    </cfRule>
  </conditionalFormatting>
  <conditionalFormatting sqref="AC2:AC32">
    <cfRule type="cellIs" dxfId="6" priority="5" operator="lessThan">
      <formula>5000</formula>
    </cfRule>
  </conditionalFormatting>
  <conditionalFormatting sqref="AC2:AC32">
    <cfRule type="cellIs" dxfId="7" priority="6" operator="lessThan">
      <formula>6000</formula>
    </cfRule>
  </conditionalFormatting>
  <conditionalFormatting sqref="AC2:AC32">
    <cfRule type="cellIs" dxfId="8" priority="7" operator="greaterThan">
      <formula>6000</formula>
    </cfRule>
  </conditionalFormatting>
  <conditionalFormatting sqref="B2:B31">
    <cfRule type="cellIs" dxfId="9" priority="8" operator="between">
      <formula>0</formula>
      <formula>99.99</formula>
    </cfRule>
  </conditionalFormatting>
  <conditionalFormatting sqref="B2:B31">
    <cfRule type="cellIs" dxfId="3" priority="9" operator="between">
      <formula>100</formula>
      <formula>199.99</formula>
    </cfRule>
  </conditionalFormatting>
  <conditionalFormatting sqref="B2:B31">
    <cfRule type="cellIs" dxfId="10" priority="10" operator="between">
      <formula>200</formula>
      <formula>299.99</formula>
    </cfRule>
  </conditionalFormatting>
  <conditionalFormatting sqref="B2:B31">
    <cfRule type="cellIs" dxfId="5" priority="11" operator="between">
      <formula>300</formula>
      <formula>399.99</formula>
    </cfRule>
  </conditionalFormatting>
  <conditionalFormatting sqref="B2:B31">
    <cfRule type="cellIs" dxfId="6" priority="12" operator="between">
      <formula>400</formula>
      <formula>499.99</formula>
    </cfRule>
  </conditionalFormatting>
  <conditionalFormatting sqref="B2:B31">
    <cfRule type="cellIs" dxfId="7" priority="13" operator="greaterThan">
      <formula>500</formula>
    </cfRule>
  </conditionalFormatting>
  <conditionalFormatting sqref="AA2:AA31">
    <cfRule type="cellIs" dxfId="0" priority="14" operator="greaterThan">
      <formula>0</formula>
    </cfRule>
  </conditionalFormatting>
  <conditionalFormatting sqref="AA2:AA31">
    <cfRule type="cellIs" dxfId="11" priority="15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88"/>
    <col customWidth="1" min="2" max="2" width="10.75"/>
    <col customWidth="1" min="3" max="3" width="8.63"/>
    <col customWidth="1" min="4" max="5" width="8.25"/>
    <col customWidth="1" min="6" max="7" width="8.0"/>
    <col customWidth="1" min="8" max="9" width="7.63"/>
    <col customWidth="1" min="10" max="14" width="9.75"/>
    <col customWidth="1" min="15" max="21" width="7.63"/>
    <col customWidth="1" min="22" max="23" width="14.38"/>
    <col customWidth="1" min="24" max="24" width="9.38"/>
    <col customWidth="1" min="25" max="25" width="11.5"/>
    <col customWidth="1" min="26" max="26" width="10.63"/>
    <col customWidth="1" min="27" max="30" width="9.38"/>
  </cols>
  <sheetData>
    <row r="1" ht="14.25" customHeight="1">
      <c r="A1" s="44" t="s">
        <v>53</v>
      </c>
      <c r="B1" s="44" t="s">
        <v>1</v>
      </c>
      <c r="C1" s="44" t="s">
        <v>16</v>
      </c>
      <c r="D1" s="44" t="s">
        <v>17</v>
      </c>
      <c r="F1" s="44" t="s">
        <v>18</v>
      </c>
      <c r="H1" s="44" t="s">
        <v>19</v>
      </c>
      <c r="I1" s="44" t="s">
        <v>20</v>
      </c>
      <c r="J1" s="44" t="s">
        <v>21</v>
      </c>
      <c r="K1" s="44" t="s">
        <v>22</v>
      </c>
      <c r="L1" s="44" t="s">
        <v>23</v>
      </c>
      <c r="M1" s="44" t="s">
        <v>24</v>
      </c>
      <c r="N1" s="44" t="s">
        <v>25</v>
      </c>
      <c r="O1" s="44" t="s">
        <v>26</v>
      </c>
      <c r="P1" s="44" t="s">
        <v>27</v>
      </c>
      <c r="Q1" s="44" t="s">
        <v>28</v>
      </c>
      <c r="R1" s="44" t="s">
        <v>29</v>
      </c>
      <c r="S1" s="44" t="s">
        <v>32</v>
      </c>
      <c r="T1" s="44" t="s">
        <v>34</v>
      </c>
      <c r="U1" s="44" t="s">
        <v>36</v>
      </c>
      <c r="V1" s="53" t="s">
        <v>40</v>
      </c>
      <c r="W1" s="46" t="s">
        <v>54</v>
      </c>
      <c r="X1" s="44" t="s">
        <v>2</v>
      </c>
      <c r="Y1" s="44" t="s">
        <v>55</v>
      </c>
      <c r="Z1" s="44" t="s">
        <v>56</v>
      </c>
      <c r="AA1" s="44" t="s">
        <v>57</v>
      </c>
      <c r="AB1" s="44" t="s">
        <v>58</v>
      </c>
      <c r="AC1" s="53" t="s">
        <v>78</v>
      </c>
      <c r="AD1" s="60"/>
    </row>
    <row r="2" ht="14.25" customHeight="1">
      <c r="A2" s="47">
        <v>45839.0</v>
      </c>
      <c r="B2" s="53">
        <v>238.64</v>
      </c>
      <c r="C2" s="53">
        <v>7.0</v>
      </c>
      <c r="D2" s="53">
        <v>50.0</v>
      </c>
      <c r="E2" s="53"/>
      <c r="F2" s="53">
        <v>22.0</v>
      </c>
      <c r="G2" s="53">
        <v>22.0</v>
      </c>
      <c r="H2" s="53"/>
      <c r="I2" s="44">
        <f>3.2+4.51</f>
        <v>7.71</v>
      </c>
      <c r="J2" s="44"/>
      <c r="K2" s="53">
        <f>11.4+10.3</f>
        <v>21.7</v>
      </c>
      <c r="L2" s="44"/>
      <c r="M2" s="44"/>
      <c r="N2" s="53">
        <v>15.9</v>
      </c>
      <c r="O2" s="53">
        <v>200.0</v>
      </c>
      <c r="P2" s="53"/>
      <c r="Q2" s="53">
        <v>11.0</v>
      </c>
      <c r="R2" s="53">
        <v>350.0</v>
      </c>
      <c r="S2" s="44"/>
      <c r="T2" s="53">
        <v>200.0</v>
      </c>
      <c r="U2" s="53"/>
      <c r="V2" s="53">
        <v>14.0</v>
      </c>
      <c r="W2" s="54" t="s">
        <v>101</v>
      </c>
      <c r="X2" s="44">
        <f t="shared" ref="X2:X32" si="1">sum(C2:U2)</f>
        <v>907.31</v>
      </c>
      <c r="Y2" s="44"/>
      <c r="Z2" s="44"/>
      <c r="AA2" s="44">
        <f t="shared" ref="AA2:AA32" si="2">B2-X2</f>
        <v>-668.67</v>
      </c>
      <c r="AB2" s="44"/>
      <c r="AC2" s="44">
        <f>AA2</f>
        <v>-668.67</v>
      </c>
      <c r="AD2" s="60"/>
    </row>
    <row r="3" ht="14.25" customHeight="1">
      <c r="A3" s="47">
        <v>45840.0</v>
      </c>
      <c r="B3" s="53">
        <v>217.6</v>
      </c>
      <c r="C3" s="53">
        <v>7.0</v>
      </c>
      <c r="D3" s="53">
        <v>55.0</v>
      </c>
      <c r="E3" s="53">
        <v>65.0</v>
      </c>
      <c r="F3" s="53">
        <v>13.8</v>
      </c>
      <c r="G3" s="44"/>
      <c r="H3" s="44"/>
      <c r="I3" s="44">
        <f>4.76+2.3+6.07</f>
        <v>13.13</v>
      </c>
      <c r="J3" s="44"/>
      <c r="K3" s="53">
        <f>29.5+5.7</f>
        <v>35.2</v>
      </c>
      <c r="L3" s="44"/>
      <c r="M3" s="44"/>
      <c r="N3" s="44"/>
      <c r="O3" s="44"/>
      <c r="P3" s="44"/>
      <c r="Q3" s="44"/>
      <c r="R3" s="44"/>
      <c r="S3" s="44"/>
      <c r="T3" s="44"/>
      <c r="U3" s="44"/>
      <c r="V3" s="53">
        <v>13.0</v>
      </c>
      <c r="W3" s="46"/>
      <c r="X3" s="44">
        <f t="shared" si="1"/>
        <v>189.13</v>
      </c>
      <c r="Y3" s="44"/>
      <c r="Z3" s="44"/>
      <c r="AA3" s="44">
        <f t="shared" si="2"/>
        <v>28.47</v>
      </c>
      <c r="AB3" s="44"/>
      <c r="AC3" s="44">
        <f t="shared" ref="AC3:AC32" si="3">AC2+AA3</f>
        <v>-640.2</v>
      </c>
      <c r="AD3" s="60"/>
    </row>
    <row r="4" ht="14.25" customHeight="1">
      <c r="A4" s="47">
        <v>45841.0</v>
      </c>
      <c r="B4" s="53">
        <v>213.84</v>
      </c>
      <c r="C4" s="53">
        <v>7.0</v>
      </c>
      <c r="D4" s="53">
        <v>50.0</v>
      </c>
      <c r="E4" s="44"/>
      <c r="F4" s="53">
        <v>20.0</v>
      </c>
      <c r="G4" s="53">
        <v>11.5</v>
      </c>
      <c r="H4" s="44"/>
      <c r="I4" s="53">
        <v>8.5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3">
        <v>18.0</v>
      </c>
      <c r="W4" s="46"/>
      <c r="X4" s="44">
        <f t="shared" si="1"/>
        <v>97</v>
      </c>
      <c r="Y4" s="44"/>
      <c r="Z4" s="44"/>
      <c r="AA4" s="44">
        <f t="shared" si="2"/>
        <v>116.84</v>
      </c>
      <c r="AB4" s="44"/>
      <c r="AC4" s="44">
        <f t="shared" si="3"/>
        <v>-523.36</v>
      </c>
      <c r="AD4" s="60"/>
    </row>
    <row r="5" ht="14.25" customHeight="1">
      <c r="A5" s="47">
        <v>45842.0</v>
      </c>
      <c r="B5" s="53">
        <v>262.4</v>
      </c>
      <c r="C5" s="53">
        <v>7.0</v>
      </c>
      <c r="D5" s="53"/>
      <c r="E5" s="44"/>
      <c r="F5" s="53">
        <v>11.5</v>
      </c>
      <c r="G5" s="53">
        <v>9.8</v>
      </c>
      <c r="H5" s="44"/>
      <c r="I5" s="53">
        <v>4.51</v>
      </c>
      <c r="J5" s="44"/>
      <c r="K5" s="53">
        <v>4.3</v>
      </c>
      <c r="L5" s="44"/>
      <c r="M5" s="44"/>
      <c r="N5" s="44"/>
      <c r="O5" s="44"/>
      <c r="P5" s="44"/>
      <c r="Q5" s="44"/>
      <c r="R5" s="53"/>
      <c r="S5" s="44"/>
      <c r="T5" s="44"/>
      <c r="U5" s="41"/>
      <c r="V5" s="53">
        <v>25.0</v>
      </c>
      <c r="W5" s="46"/>
      <c r="X5" s="44">
        <f t="shared" si="1"/>
        <v>37.11</v>
      </c>
      <c r="Y5" s="44"/>
      <c r="Z5" s="44"/>
      <c r="AA5" s="44">
        <f t="shared" si="2"/>
        <v>225.29</v>
      </c>
      <c r="AB5" s="44"/>
      <c r="AC5" s="44">
        <f t="shared" si="3"/>
        <v>-298.07</v>
      </c>
      <c r="AD5" s="60"/>
    </row>
    <row r="6" ht="14.25" customHeight="1">
      <c r="A6" s="47">
        <v>45843.0</v>
      </c>
      <c r="B6" s="53">
        <v>206.4</v>
      </c>
      <c r="C6" s="53"/>
      <c r="D6" s="53">
        <v>68.0</v>
      </c>
      <c r="E6" s="44"/>
      <c r="F6" s="53">
        <v>11.0</v>
      </c>
      <c r="G6" s="44"/>
      <c r="H6" s="44"/>
      <c r="I6" s="44"/>
      <c r="J6" s="44"/>
      <c r="K6" s="53">
        <v>6.2</v>
      </c>
      <c r="L6" s="44"/>
      <c r="M6" s="44"/>
      <c r="N6" s="44"/>
      <c r="O6" s="44"/>
      <c r="P6" s="44"/>
      <c r="Q6" s="44"/>
      <c r="R6" s="44"/>
      <c r="S6" s="44"/>
      <c r="T6" s="44"/>
      <c r="U6" s="44"/>
      <c r="V6" s="53">
        <v>17.0</v>
      </c>
      <c r="W6" s="46"/>
      <c r="X6" s="44">
        <f t="shared" si="1"/>
        <v>85.2</v>
      </c>
      <c r="Y6" s="44"/>
      <c r="Z6" s="44"/>
      <c r="AA6" s="44">
        <f t="shared" si="2"/>
        <v>121.2</v>
      </c>
      <c r="AB6" s="44"/>
      <c r="AC6" s="44">
        <f t="shared" si="3"/>
        <v>-176.87</v>
      </c>
      <c r="AD6" s="62">
        <v>1050.0</v>
      </c>
    </row>
    <row r="7" ht="14.25" customHeight="1">
      <c r="A7" s="48">
        <v>45844.0</v>
      </c>
      <c r="B7" s="51">
        <v>208.8</v>
      </c>
      <c r="C7" s="51">
        <v>7.0</v>
      </c>
      <c r="D7" s="51">
        <v>50.0</v>
      </c>
      <c r="E7" s="50"/>
      <c r="F7" s="51">
        <v>19.0</v>
      </c>
      <c r="G7" s="50"/>
      <c r="H7" s="50"/>
      <c r="I7" s="51">
        <v>3.2</v>
      </c>
      <c r="J7" s="50"/>
      <c r="K7" s="51">
        <v>10.9</v>
      </c>
      <c r="L7" s="50"/>
      <c r="M7" s="50"/>
      <c r="N7" s="50"/>
      <c r="O7" s="50"/>
      <c r="P7" s="50"/>
      <c r="Q7" s="50"/>
      <c r="R7" s="50"/>
      <c r="S7" s="50"/>
      <c r="T7" s="50"/>
      <c r="U7" s="50"/>
      <c r="V7" s="51">
        <v>19.0</v>
      </c>
      <c r="W7" s="55" t="s">
        <v>102</v>
      </c>
      <c r="X7" s="50">
        <f t="shared" si="1"/>
        <v>90.1</v>
      </c>
      <c r="Y7" s="50">
        <f>sum(B2:B7)</f>
        <v>1347.68</v>
      </c>
      <c r="Z7" s="50">
        <f>sum(X2:X7)</f>
        <v>1405.85</v>
      </c>
      <c r="AA7" s="50">
        <f t="shared" si="2"/>
        <v>118.7</v>
      </c>
      <c r="AB7" s="50">
        <f>Y7-Z7</f>
        <v>-58.17</v>
      </c>
      <c r="AC7" s="50">
        <f t="shared" si="3"/>
        <v>-58.17</v>
      </c>
      <c r="AD7" s="61"/>
    </row>
    <row r="8" ht="14.25" customHeight="1">
      <c r="A8" s="47">
        <v>45845.0</v>
      </c>
      <c r="B8" s="53">
        <v>330.78</v>
      </c>
      <c r="C8" s="53">
        <v>7.0</v>
      </c>
      <c r="D8" s="53">
        <v>60.0</v>
      </c>
      <c r="E8" s="44"/>
      <c r="F8" s="53">
        <f>9+11.5</f>
        <v>20.5</v>
      </c>
      <c r="G8" s="53">
        <v>16.0</v>
      </c>
      <c r="H8" s="44"/>
      <c r="I8" s="53">
        <v>1.0</v>
      </c>
      <c r="J8" s="44"/>
      <c r="K8" s="53">
        <v>6.1</v>
      </c>
      <c r="L8" s="44"/>
      <c r="M8" s="44"/>
      <c r="N8" s="53"/>
      <c r="O8" s="44"/>
      <c r="P8" s="44"/>
      <c r="Q8" s="44"/>
      <c r="R8" s="44"/>
      <c r="S8" s="53">
        <v>13.0</v>
      </c>
      <c r="T8" s="44"/>
      <c r="U8" s="44"/>
      <c r="V8" s="53">
        <v>21.0</v>
      </c>
      <c r="W8" s="54"/>
      <c r="X8" s="44">
        <f t="shared" si="1"/>
        <v>123.6</v>
      </c>
      <c r="Y8" s="44"/>
      <c r="Z8" s="44"/>
      <c r="AA8" s="44">
        <f t="shared" si="2"/>
        <v>207.18</v>
      </c>
      <c r="AB8" s="44"/>
      <c r="AC8" s="44">
        <f t="shared" si="3"/>
        <v>149.01</v>
      </c>
      <c r="AD8" s="60"/>
    </row>
    <row r="9" ht="14.25" customHeight="1">
      <c r="A9" s="47">
        <v>45846.0</v>
      </c>
      <c r="B9" s="53">
        <v>206.4</v>
      </c>
      <c r="C9" s="53">
        <v>7.0</v>
      </c>
      <c r="D9" s="53">
        <v>55.0</v>
      </c>
      <c r="E9" s="44"/>
      <c r="F9" s="53">
        <v>5.9</v>
      </c>
      <c r="G9" s="53">
        <f>14+8.5</f>
        <v>22.5</v>
      </c>
      <c r="H9" s="44"/>
      <c r="I9" s="53">
        <v>6.6</v>
      </c>
      <c r="J9" s="44"/>
      <c r="K9" s="44"/>
      <c r="L9" s="44"/>
      <c r="M9" s="44"/>
      <c r="O9" s="44"/>
      <c r="P9" s="44"/>
      <c r="Q9" s="44"/>
      <c r="R9" s="44"/>
      <c r="S9" s="44"/>
      <c r="T9" s="44"/>
      <c r="U9" s="44"/>
      <c r="V9" s="53">
        <v>19.0</v>
      </c>
      <c r="W9" s="46"/>
      <c r="X9" s="44">
        <f t="shared" si="1"/>
        <v>97</v>
      </c>
      <c r="Y9" s="44"/>
      <c r="Z9" s="44"/>
      <c r="AA9" s="44">
        <f t="shared" si="2"/>
        <v>109.4</v>
      </c>
      <c r="AB9" s="44"/>
      <c r="AC9" s="44">
        <f t="shared" si="3"/>
        <v>258.41</v>
      </c>
      <c r="AD9" s="60"/>
    </row>
    <row r="10" ht="14.25" customHeight="1">
      <c r="A10" s="47">
        <v>45847.0</v>
      </c>
      <c r="B10" s="53">
        <v>416.64</v>
      </c>
      <c r="C10" s="53">
        <v>7.0</v>
      </c>
      <c r="D10" s="53">
        <v>50.0</v>
      </c>
      <c r="E10" s="44"/>
      <c r="F10" s="53">
        <v>20.0</v>
      </c>
      <c r="G10" s="44"/>
      <c r="H10" s="44"/>
      <c r="I10" s="53">
        <v>3.53</v>
      </c>
      <c r="J10" s="53">
        <v>175.0</v>
      </c>
      <c r="K10" s="44"/>
      <c r="L10" s="53"/>
      <c r="M10" s="44"/>
      <c r="N10" s="44"/>
      <c r="O10" s="44"/>
      <c r="P10" s="44"/>
      <c r="Q10" s="44"/>
      <c r="R10" s="44"/>
      <c r="S10" s="44"/>
      <c r="T10" s="44"/>
      <c r="U10" s="44"/>
      <c r="V10" s="53">
        <v>28.0</v>
      </c>
      <c r="W10" s="54" t="s">
        <v>103</v>
      </c>
      <c r="X10" s="44">
        <f t="shared" si="1"/>
        <v>255.53</v>
      </c>
      <c r="Y10" s="44"/>
      <c r="Z10" s="44"/>
      <c r="AA10" s="44">
        <f t="shared" si="2"/>
        <v>161.11</v>
      </c>
      <c r="AB10" s="44"/>
      <c r="AC10" s="44">
        <f t="shared" si="3"/>
        <v>419.52</v>
      </c>
      <c r="AD10" s="60"/>
    </row>
    <row r="11" ht="14.25" customHeight="1">
      <c r="A11" s="47">
        <v>45848.0</v>
      </c>
      <c r="B11" s="53">
        <v>314.4</v>
      </c>
      <c r="C11" s="53">
        <v>7.0</v>
      </c>
      <c r="D11" s="53">
        <v>60.0</v>
      </c>
      <c r="E11" s="53">
        <v>60.0</v>
      </c>
      <c r="F11" s="53">
        <v>12.5</v>
      </c>
      <c r="G11" s="44"/>
      <c r="H11" s="44"/>
      <c r="I11" s="53">
        <f>3.5+3.2</f>
        <v>6.7</v>
      </c>
      <c r="J11" s="44"/>
      <c r="K11" s="44"/>
      <c r="L11" s="53"/>
      <c r="M11" s="44"/>
      <c r="N11" s="44"/>
      <c r="O11" s="44"/>
      <c r="P11" s="44"/>
      <c r="Q11" s="44"/>
      <c r="R11" s="44"/>
      <c r="S11" s="44"/>
      <c r="T11" s="44"/>
      <c r="U11" s="44"/>
      <c r="V11" s="53">
        <v>24.0</v>
      </c>
      <c r="W11" s="54"/>
      <c r="X11" s="44">
        <f t="shared" si="1"/>
        <v>146.2</v>
      </c>
      <c r="Y11" s="44"/>
      <c r="Z11" s="44"/>
      <c r="AA11" s="44">
        <f t="shared" si="2"/>
        <v>168.2</v>
      </c>
      <c r="AB11" s="44"/>
      <c r="AC11" s="44">
        <f t="shared" si="3"/>
        <v>587.72</v>
      </c>
      <c r="AD11" s="60"/>
    </row>
    <row r="12" ht="14.25" customHeight="1">
      <c r="A12" s="79">
        <v>45849.0</v>
      </c>
      <c r="B12" s="80">
        <v>401.64</v>
      </c>
      <c r="C12" s="53">
        <v>7.0</v>
      </c>
      <c r="D12" s="80">
        <v>65.0</v>
      </c>
      <c r="E12" s="81"/>
      <c r="F12" s="80">
        <v>8.5</v>
      </c>
      <c r="G12" s="81"/>
      <c r="H12" s="81"/>
      <c r="I12" s="81">
        <f>1.66+2.46</f>
        <v>4.12</v>
      </c>
      <c r="J12" s="81"/>
      <c r="K12" s="81"/>
      <c r="L12" s="80"/>
      <c r="M12" s="81"/>
      <c r="N12" s="81"/>
      <c r="O12" s="81"/>
      <c r="P12" s="81"/>
      <c r="Q12" s="81"/>
      <c r="R12" s="81"/>
      <c r="S12" s="81"/>
      <c r="T12" s="81"/>
      <c r="U12" s="81"/>
      <c r="V12" s="80">
        <v>28.0</v>
      </c>
      <c r="W12" s="46"/>
      <c r="X12" s="81">
        <f t="shared" si="1"/>
        <v>84.62</v>
      </c>
      <c r="Y12" s="81"/>
      <c r="Z12" s="81"/>
      <c r="AA12" s="81">
        <f t="shared" si="2"/>
        <v>317.02</v>
      </c>
      <c r="AB12" s="81"/>
      <c r="AC12" s="44">
        <f t="shared" si="3"/>
        <v>904.74</v>
      </c>
      <c r="AD12" s="60"/>
    </row>
    <row r="13" ht="14.25" customHeight="1">
      <c r="A13" s="47">
        <v>45850.0</v>
      </c>
      <c r="B13" s="53">
        <v>265.04</v>
      </c>
      <c r="C13" s="53">
        <v>7.0</v>
      </c>
      <c r="D13" s="53">
        <v>65.0</v>
      </c>
      <c r="E13" s="44"/>
      <c r="F13" s="53">
        <v>13.0</v>
      </c>
      <c r="G13" s="53">
        <v>10.0</v>
      </c>
      <c r="H13" s="44"/>
      <c r="I13" s="44">
        <f>2.1+2.1</f>
        <v>4.2</v>
      </c>
      <c r="J13" s="44"/>
      <c r="K13" s="44"/>
      <c r="L13" s="53"/>
      <c r="M13" s="44"/>
      <c r="N13" s="44"/>
      <c r="O13" s="44"/>
      <c r="P13" s="53">
        <v>36.0</v>
      </c>
      <c r="Q13" s="44"/>
      <c r="R13" s="44"/>
      <c r="S13" s="44"/>
      <c r="T13" s="44"/>
      <c r="U13" s="44"/>
      <c r="V13" s="53">
        <v>21.0</v>
      </c>
      <c r="W13" s="46"/>
      <c r="X13" s="44">
        <f t="shared" si="1"/>
        <v>135.2</v>
      </c>
      <c r="Y13" s="44"/>
      <c r="Z13" s="44"/>
      <c r="AA13" s="44">
        <f t="shared" si="2"/>
        <v>129.84</v>
      </c>
      <c r="AB13" s="44"/>
      <c r="AC13" s="44">
        <f t="shared" si="3"/>
        <v>1034.58</v>
      </c>
      <c r="AD13" s="60"/>
    </row>
    <row r="14" ht="14.25" customHeight="1">
      <c r="A14" s="48">
        <v>45851.0</v>
      </c>
      <c r="B14" s="51">
        <v>250.4</v>
      </c>
      <c r="C14" s="51">
        <v>7.0</v>
      </c>
      <c r="D14" s="51">
        <v>65.0</v>
      </c>
      <c r="E14" s="50"/>
      <c r="F14" s="51">
        <v>14.5</v>
      </c>
      <c r="G14" s="50"/>
      <c r="H14" s="50"/>
      <c r="I14" s="50">
        <f>2.5+7.46</f>
        <v>9.96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1">
        <v>22.0</v>
      </c>
      <c r="W14" s="52"/>
      <c r="X14" s="50">
        <f t="shared" si="1"/>
        <v>96.46</v>
      </c>
      <c r="Y14" s="50">
        <f>sum(B8:B14)</f>
        <v>2185.3</v>
      </c>
      <c r="Z14" s="50">
        <f>sum(X8:X14)</f>
        <v>938.61</v>
      </c>
      <c r="AA14" s="50">
        <f t="shared" si="2"/>
        <v>153.94</v>
      </c>
      <c r="AB14" s="50">
        <f>Y14-Z14</f>
        <v>1246.69</v>
      </c>
      <c r="AC14" s="50">
        <f t="shared" si="3"/>
        <v>1188.52</v>
      </c>
      <c r="AD14" s="61"/>
    </row>
    <row r="15" ht="14.25" customHeight="1">
      <c r="A15" s="47">
        <v>45852.0</v>
      </c>
      <c r="B15" s="53">
        <v>439.45</v>
      </c>
      <c r="C15" s="53">
        <v>7.0</v>
      </c>
      <c r="D15" s="53">
        <v>50.0</v>
      </c>
      <c r="E15" s="44"/>
      <c r="F15" s="53">
        <v>5.2</v>
      </c>
      <c r="G15" s="53">
        <v>15.72</v>
      </c>
      <c r="H15" s="44"/>
      <c r="I15" s="44">
        <f>3.2+1.66+3.1</f>
        <v>7.96</v>
      </c>
      <c r="J15" s="44"/>
      <c r="K15" s="44"/>
      <c r="L15" s="53"/>
      <c r="M15" s="44"/>
      <c r="N15" s="44"/>
      <c r="O15" s="53">
        <v>2.0</v>
      </c>
      <c r="P15" s="44"/>
      <c r="Q15" s="44"/>
      <c r="R15" s="44"/>
      <c r="S15" s="44"/>
      <c r="T15" s="44"/>
      <c r="U15" s="44"/>
      <c r="V15" s="53">
        <v>15.0</v>
      </c>
      <c r="W15" s="46"/>
      <c r="X15" s="44">
        <f t="shared" si="1"/>
        <v>87.88</v>
      </c>
      <c r="Y15" s="44"/>
      <c r="Z15" s="44"/>
      <c r="AA15" s="44">
        <f t="shared" si="2"/>
        <v>351.57</v>
      </c>
      <c r="AB15" s="44"/>
      <c r="AC15" s="44">
        <f t="shared" si="3"/>
        <v>1540.09</v>
      </c>
      <c r="AD15" s="60"/>
    </row>
    <row r="16" ht="14.25" customHeight="1">
      <c r="A16" s="47">
        <v>45853.0</v>
      </c>
      <c r="B16" s="53">
        <v>276.6</v>
      </c>
      <c r="C16" s="53">
        <v>7.0</v>
      </c>
      <c r="D16" s="53">
        <v>70.0</v>
      </c>
      <c r="E16" s="44"/>
      <c r="F16" s="53">
        <v>9.0</v>
      </c>
      <c r="G16" s="53">
        <v>10.5</v>
      </c>
      <c r="H16" s="44"/>
      <c r="I16" s="53">
        <v>3.2</v>
      </c>
      <c r="J16" s="44"/>
      <c r="K16" s="53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53">
        <v>22.0</v>
      </c>
      <c r="W16" s="46"/>
      <c r="X16" s="44">
        <f t="shared" si="1"/>
        <v>99.7</v>
      </c>
      <c r="Y16" s="44"/>
      <c r="Z16" s="44"/>
      <c r="AA16" s="44">
        <f t="shared" si="2"/>
        <v>176.9</v>
      </c>
      <c r="AB16" s="44"/>
      <c r="AC16" s="44">
        <f t="shared" si="3"/>
        <v>1716.99</v>
      </c>
      <c r="AD16" s="60"/>
    </row>
    <row r="17" ht="14.25" customHeight="1">
      <c r="A17" s="47">
        <v>45854.0</v>
      </c>
      <c r="B17" s="53">
        <v>266.4</v>
      </c>
      <c r="C17" s="53">
        <v>7.0</v>
      </c>
      <c r="D17" s="44"/>
      <c r="E17" s="44"/>
      <c r="F17" s="53">
        <v>17.5</v>
      </c>
      <c r="G17" s="53">
        <v>16.4</v>
      </c>
      <c r="H17" s="44"/>
      <c r="I17" s="53">
        <v>2.5</v>
      </c>
      <c r="J17" s="44"/>
      <c r="K17" s="44"/>
      <c r="L17" s="53"/>
      <c r="M17" s="44"/>
      <c r="N17" s="44"/>
      <c r="O17" s="44"/>
      <c r="P17" s="44"/>
      <c r="Q17" s="44"/>
      <c r="R17" s="44"/>
      <c r="S17" s="44"/>
      <c r="T17" s="44"/>
      <c r="U17" s="44"/>
      <c r="V17" s="53">
        <v>13.0</v>
      </c>
      <c r="W17" s="46"/>
      <c r="X17" s="44">
        <f t="shared" si="1"/>
        <v>43.4</v>
      </c>
      <c r="Y17" s="44"/>
      <c r="Z17" s="44"/>
      <c r="AA17" s="44">
        <f t="shared" si="2"/>
        <v>223</v>
      </c>
      <c r="AB17" s="44"/>
      <c r="AC17" s="44">
        <f t="shared" si="3"/>
        <v>1939.99</v>
      </c>
      <c r="AD17" s="60"/>
    </row>
    <row r="18" ht="14.25" customHeight="1">
      <c r="A18" s="47">
        <v>45855.0</v>
      </c>
      <c r="B18" s="53">
        <v>248.8</v>
      </c>
      <c r="C18" s="53">
        <v>7.0</v>
      </c>
      <c r="D18" s="53">
        <v>55.0</v>
      </c>
      <c r="E18" s="53">
        <v>60.0</v>
      </c>
      <c r="F18" s="53">
        <v>9.0</v>
      </c>
      <c r="G18" s="53">
        <v>11.5</v>
      </c>
      <c r="H18" s="44"/>
      <c r="I18" s="53">
        <v>3.2</v>
      </c>
      <c r="J18" s="44"/>
      <c r="K18" s="53">
        <v>1.5</v>
      </c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53">
        <v>23.0</v>
      </c>
      <c r="W18" s="46"/>
      <c r="X18" s="44">
        <f t="shared" si="1"/>
        <v>147.2</v>
      </c>
      <c r="Y18" s="44"/>
      <c r="Z18" s="44"/>
      <c r="AA18" s="44">
        <f t="shared" si="2"/>
        <v>101.6</v>
      </c>
      <c r="AB18" s="53"/>
      <c r="AC18" s="44">
        <f t="shared" si="3"/>
        <v>2041.59</v>
      </c>
      <c r="AD18" s="62">
        <v>1700.0</v>
      </c>
    </row>
    <row r="19" ht="14.25" customHeight="1">
      <c r="A19" s="47">
        <v>45856.0</v>
      </c>
      <c r="B19" s="53">
        <v>244.8</v>
      </c>
      <c r="C19" s="53">
        <v>7.0</v>
      </c>
      <c r="D19" s="44"/>
      <c r="E19" s="44"/>
      <c r="F19" s="53">
        <v>9.0</v>
      </c>
      <c r="G19" s="53">
        <v>12.0</v>
      </c>
      <c r="H19" s="44"/>
      <c r="I19" s="44"/>
      <c r="J19" s="44"/>
      <c r="K19" s="53">
        <v>8.8</v>
      </c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53">
        <v>20.0</v>
      </c>
      <c r="W19" s="46"/>
      <c r="X19" s="44">
        <f t="shared" si="1"/>
        <v>36.8</v>
      </c>
      <c r="Y19" s="44"/>
      <c r="Z19" s="44"/>
      <c r="AA19" s="44">
        <f t="shared" si="2"/>
        <v>208</v>
      </c>
      <c r="AB19" s="53"/>
      <c r="AC19" s="44">
        <f t="shared" si="3"/>
        <v>2249.59</v>
      </c>
      <c r="AD19" s="60"/>
    </row>
    <row r="20" ht="14.25" customHeight="1">
      <c r="A20" s="47">
        <v>45857.0</v>
      </c>
      <c r="B20" s="53">
        <v>324.8</v>
      </c>
      <c r="C20" s="53">
        <v>7.0</v>
      </c>
      <c r="D20" s="53">
        <v>65.0</v>
      </c>
      <c r="E20" s="53">
        <v>65.0</v>
      </c>
      <c r="F20" s="53">
        <v>13.0</v>
      </c>
      <c r="G20" s="53">
        <v>17.0</v>
      </c>
      <c r="H20" s="44"/>
      <c r="I20" s="53">
        <v>3.2</v>
      </c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53">
        <v>26.0</v>
      </c>
      <c r="W20" s="46"/>
      <c r="X20" s="44">
        <f t="shared" si="1"/>
        <v>170.2</v>
      </c>
      <c r="Y20" s="44"/>
      <c r="Z20" s="44"/>
      <c r="AA20" s="44">
        <f t="shared" si="2"/>
        <v>154.6</v>
      </c>
      <c r="AB20" s="44"/>
      <c r="AC20" s="44">
        <f t="shared" si="3"/>
        <v>2404.19</v>
      </c>
      <c r="AD20" s="60"/>
    </row>
    <row r="21" ht="14.25" customHeight="1">
      <c r="A21" s="48">
        <v>45858.0</v>
      </c>
      <c r="B21" s="51">
        <v>411.2</v>
      </c>
      <c r="C21" s="51">
        <v>7.0</v>
      </c>
      <c r="D21" s="51">
        <v>60.0</v>
      </c>
      <c r="E21" s="50"/>
      <c r="F21" s="51">
        <v>11.8</v>
      </c>
      <c r="G21" s="50"/>
      <c r="H21" s="50"/>
      <c r="I21" s="51">
        <v>6.8</v>
      </c>
      <c r="J21" s="50"/>
      <c r="K21" s="50"/>
      <c r="L21" s="50"/>
      <c r="M21" s="50"/>
      <c r="N21" s="51"/>
      <c r="O21" s="50"/>
      <c r="P21" s="50"/>
      <c r="Q21" s="50"/>
      <c r="R21" s="50"/>
      <c r="S21" s="50"/>
      <c r="T21" s="50"/>
      <c r="U21" s="50"/>
      <c r="V21" s="51">
        <v>31.0</v>
      </c>
      <c r="W21" s="55"/>
      <c r="X21" s="50">
        <f t="shared" si="1"/>
        <v>85.6</v>
      </c>
      <c r="Y21" s="50">
        <f>sum(B15:B21)</f>
        <v>2212.05</v>
      </c>
      <c r="Z21" s="50">
        <f>sum(X15:X21)</f>
        <v>670.78</v>
      </c>
      <c r="AA21" s="50">
        <f t="shared" si="2"/>
        <v>325.6</v>
      </c>
      <c r="AB21" s="50">
        <f>Y21-Z21</f>
        <v>1541.27</v>
      </c>
      <c r="AC21" s="50">
        <f t="shared" si="3"/>
        <v>2729.79</v>
      </c>
      <c r="AD21" s="61"/>
    </row>
    <row r="22" ht="14.25" customHeight="1">
      <c r="A22" s="47">
        <v>45859.0</v>
      </c>
      <c r="B22" s="53">
        <v>407.2</v>
      </c>
      <c r="C22" s="53">
        <v>7.0</v>
      </c>
      <c r="D22" s="53">
        <v>65.0</v>
      </c>
      <c r="E22" s="44"/>
      <c r="F22" s="53">
        <v>11.0</v>
      </c>
      <c r="G22" s="53">
        <v>20.0</v>
      </c>
      <c r="H22" s="44"/>
      <c r="I22" s="44">
        <f>3.5+2.1+3.2</f>
        <v>8.8</v>
      </c>
      <c r="J22" s="44"/>
      <c r="K22" s="53">
        <v>7.9</v>
      </c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53">
        <v>31.0</v>
      </c>
      <c r="W22" s="46"/>
      <c r="X22" s="44">
        <f t="shared" si="1"/>
        <v>119.7</v>
      </c>
      <c r="Y22" s="44"/>
      <c r="Z22" s="44"/>
      <c r="AA22" s="44">
        <f t="shared" si="2"/>
        <v>287.5</v>
      </c>
      <c r="AB22" s="44"/>
      <c r="AC22" s="44">
        <f t="shared" si="3"/>
        <v>3017.29</v>
      </c>
      <c r="AD22" s="60"/>
    </row>
    <row r="23" ht="14.25" customHeight="1">
      <c r="A23" s="47">
        <v>45860.0</v>
      </c>
      <c r="B23" s="53">
        <v>439.77</v>
      </c>
      <c r="C23" s="53">
        <v>7.0</v>
      </c>
      <c r="D23" s="53">
        <v>60.0</v>
      </c>
      <c r="E23" s="44"/>
      <c r="F23" s="53">
        <v>13.0</v>
      </c>
      <c r="G23" s="44"/>
      <c r="H23" s="44"/>
      <c r="I23" s="44">
        <f>3.2+3.2</f>
        <v>6.4</v>
      </c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53">
        <v>28.0</v>
      </c>
      <c r="W23" s="46"/>
      <c r="X23" s="44">
        <f t="shared" si="1"/>
        <v>86.4</v>
      </c>
      <c r="Y23" s="44"/>
      <c r="Z23" s="44"/>
      <c r="AA23" s="44">
        <f t="shared" si="2"/>
        <v>353.37</v>
      </c>
      <c r="AB23" s="44"/>
      <c r="AC23" s="44">
        <f t="shared" si="3"/>
        <v>3370.66</v>
      </c>
      <c r="AD23" s="60"/>
    </row>
    <row r="24" ht="14.25" customHeight="1">
      <c r="A24" s="47">
        <v>45861.0</v>
      </c>
      <c r="B24" s="53">
        <v>324.0</v>
      </c>
      <c r="C24" s="53">
        <v>7.0</v>
      </c>
      <c r="D24" s="53">
        <v>60.0</v>
      </c>
      <c r="E24" s="53"/>
      <c r="F24" s="53">
        <v>19.0</v>
      </c>
      <c r="H24" s="44"/>
      <c r="I24" s="44">
        <f>2.54+4.6+3.5</f>
        <v>10.64</v>
      </c>
      <c r="J24" s="44"/>
      <c r="K24" s="44"/>
      <c r="L24" s="44"/>
      <c r="M24" s="44"/>
      <c r="N24" s="44"/>
      <c r="O24" s="53"/>
      <c r="P24" s="44"/>
      <c r="Q24" s="44"/>
      <c r="R24" s="44"/>
      <c r="S24" s="44"/>
      <c r="T24" s="44"/>
      <c r="U24" s="44"/>
      <c r="V24" s="53">
        <v>31.0</v>
      </c>
      <c r="W24" s="54"/>
      <c r="X24" s="44">
        <f t="shared" si="1"/>
        <v>96.64</v>
      </c>
      <c r="Y24" s="44"/>
      <c r="Z24" s="44"/>
      <c r="AA24" s="44">
        <f t="shared" si="2"/>
        <v>227.36</v>
      </c>
      <c r="AB24" s="44"/>
      <c r="AC24" s="44">
        <f t="shared" si="3"/>
        <v>3598.02</v>
      </c>
      <c r="AD24" s="60"/>
    </row>
    <row r="25" ht="14.25" customHeight="1">
      <c r="A25" s="47">
        <v>45862.0</v>
      </c>
      <c r="B25" s="53">
        <v>310.4</v>
      </c>
      <c r="C25" s="53">
        <v>7.0</v>
      </c>
      <c r="D25" s="53">
        <v>60.0</v>
      </c>
      <c r="E25" s="53">
        <v>65.0</v>
      </c>
      <c r="F25" s="44"/>
      <c r="G25" s="53">
        <f>12.8+15.4</f>
        <v>28.2</v>
      </c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53">
        <v>27.0</v>
      </c>
      <c r="W25" s="46"/>
      <c r="X25" s="44">
        <f t="shared" si="1"/>
        <v>160.2</v>
      </c>
      <c r="Y25" s="44"/>
      <c r="Z25" s="44"/>
      <c r="AA25" s="44">
        <f t="shared" si="2"/>
        <v>150.2</v>
      </c>
      <c r="AB25" s="44"/>
      <c r="AC25" s="44">
        <f t="shared" si="3"/>
        <v>3748.22</v>
      </c>
      <c r="AD25" s="60"/>
    </row>
    <row r="26" ht="14.25" customHeight="1">
      <c r="A26" s="47">
        <v>45863.0</v>
      </c>
      <c r="B26" s="53">
        <v>401.6</v>
      </c>
      <c r="C26" s="53">
        <v>7.0</v>
      </c>
      <c r="D26" s="53">
        <v>50.0</v>
      </c>
      <c r="E26" s="44"/>
      <c r="F26" s="53">
        <v>11.3</v>
      </c>
      <c r="G26" s="44"/>
      <c r="H26" s="44"/>
      <c r="I26" s="53">
        <v>3.53</v>
      </c>
      <c r="J26" s="44"/>
      <c r="K26" s="53">
        <v>17.1</v>
      </c>
      <c r="L26" s="53"/>
      <c r="M26" s="44"/>
      <c r="N26" s="44"/>
      <c r="O26" s="44"/>
      <c r="P26" s="44"/>
      <c r="Q26" s="44"/>
      <c r="R26" s="44"/>
      <c r="S26" s="44"/>
      <c r="T26" s="44"/>
      <c r="U26" s="44"/>
      <c r="V26" s="53">
        <v>33.0</v>
      </c>
      <c r="W26" s="54" t="s">
        <v>104</v>
      </c>
      <c r="X26" s="44">
        <f t="shared" si="1"/>
        <v>88.93</v>
      </c>
      <c r="Y26" s="44"/>
      <c r="Z26" s="44"/>
      <c r="AA26" s="44">
        <f t="shared" si="2"/>
        <v>312.67</v>
      </c>
      <c r="AB26" s="44"/>
      <c r="AC26" s="44">
        <f t="shared" si="3"/>
        <v>4060.89</v>
      </c>
      <c r="AD26" s="60"/>
    </row>
    <row r="27" ht="14.25" customHeight="1">
      <c r="A27" s="47">
        <v>45864.0</v>
      </c>
      <c r="B27" s="53">
        <v>408.8</v>
      </c>
      <c r="C27" s="53">
        <v>7.0</v>
      </c>
      <c r="D27" s="53">
        <v>60.0</v>
      </c>
      <c r="E27" s="44"/>
      <c r="F27" s="53">
        <v>7.7</v>
      </c>
      <c r="G27" s="44"/>
      <c r="H27" s="44"/>
      <c r="I27" s="53">
        <f>3+3.2</f>
        <v>6.2</v>
      </c>
      <c r="J27" s="44"/>
      <c r="K27" s="44"/>
      <c r="L27" s="44"/>
      <c r="M27" s="44"/>
      <c r="N27" s="44"/>
      <c r="O27" s="53">
        <v>1.0</v>
      </c>
      <c r="P27" s="44"/>
      <c r="Q27" s="44"/>
      <c r="R27" s="44"/>
      <c r="S27" s="44"/>
      <c r="T27" s="44"/>
      <c r="U27" s="44"/>
      <c r="V27" s="53">
        <v>24.0</v>
      </c>
      <c r="W27" s="46"/>
      <c r="X27" s="44">
        <f t="shared" si="1"/>
        <v>81.9</v>
      </c>
      <c r="Y27" s="44"/>
      <c r="Z27" s="44"/>
      <c r="AA27" s="44">
        <f t="shared" si="2"/>
        <v>326.9</v>
      </c>
      <c r="AB27" s="44"/>
      <c r="AC27" s="44">
        <f t="shared" si="3"/>
        <v>4387.79</v>
      </c>
      <c r="AD27" s="60"/>
    </row>
    <row r="28" ht="14.25" customHeight="1">
      <c r="A28" s="48">
        <v>45865.0</v>
      </c>
      <c r="B28" s="51">
        <v>405.6</v>
      </c>
      <c r="C28" s="51">
        <v>7.0</v>
      </c>
      <c r="D28" s="51">
        <v>70.0</v>
      </c>
      <c r="E28" s="51">
        <v>65.0</v>
      </c>
      <c r="F28" s="51">
        <v>20.8</v>
      </c>
      <c r="G28" s="51">
        <v>12.0</v>
      </c>
      <c r="H28" s="50"/>
      <c r="I28" s="50">
        <f>3.54+6</f>
        <v>9.54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1">
        <v>23.0</v>
      </c>
      <c r="W28" s="52"/>
      <c r="X28" s="50">
        <f t="shared" si="1"/>
        <v>184.34</v>
      </c>
      <c r="Y28" s="50">
        <f>sum(B22:B28)</f>
        <v>2697.37</v>
      </c>
      <c r="Z28" s="50">
        <f>sum(X22:X28)</f>
        <v>818.11</v>
      </c>
      <c r="AA28" s="50">
        <f t="shared" si="2"/>
        <v>221.26</v>
      </c>
      <c r="AB28" s="50">
        <f>Y28-Z28</f>
        <v>1879.26</v>
      </c>
      <c r="AC28" s="50">
        <f t="shared" si="3"/>
        <v>4609.05</v>
      </c>
      <c r="AD28" s="61"/>
    </row>
    <row r="29" ht="14.25" customHeight="1">
      <c r="A29" s="47">
        <v>45866.0</v>
      </c>
      <c r="B29" s="53">
        <v>611.88</v>
      </c>
      <c r="C29" s="53">
        <v>7.0</v>
      </c>
      <c r="D29" s="53">
        <v>65.0</v>
      </c>
      <c r="E29" s="53">
        <v>55.0</v>
      </c>
      <c r="F29" s="53">
        <v>11.5</v>
      </c>
      <c r="G29" s="53">
        <v>7.5</v>
      </c>
      <c r="H29" s="44"/>
      <c r="I29" s="44">
        <f>7+1+3.5</f>
        <v>11.5</v>
      </c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53">
        <v>5.0</v>
      </c>
      <c r="V29" s="53">
        <v>28.0</v>
      </c>
      <c r="W29" s="46"/>
      <c r="X29" s="44">
        <f t="shared" si="1"/>
        <v>162.5</v>
      </c>
      <c r="Y29" s="44"/>
      <c r="Z29" s="44"/>
      <c r="AA29" s="44">
        <f t="shared" si="2"/>
        <v>449.38</v>
      </c>
      <c r="AB29" s="44"/>
      <c r="AC29" s="44">
        <f t="shared" si="3"/>
        <v>5058.43</v>
      </c>
      <c r="AD29" s="60"/>
    </row>
    <row r="30" ht="14.25" customHeight="1">
      <c r="A30" s="47">
        <v>45867.0</v>
      </c>
      <c r="B30" s="53">
        <v>303.3</v>
      </c>
      <c r="C30" s="53">
        <v>7.0</v>
      </c>
      <c r="D30" s="53">
        <v>70.0</v>
      </c>
      <c r="E30" s="44"/>
      <c r="F30" s="53">
        <v>9.0</v>
      </c>
      <c r="G30" s="53">
        <v>11.5</v>
      </c>
      <c r="H30" s="53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53">
        <v>30.0</v>
      </c>
      <c r="W30" s="46"/>
      <c r="X30" s="44">
        <f t="shared" si="1"/>
        <v>97.5</v>
      </c>
      <c r="Y30" s="44"/>
      <c r="Z30" s="44"/>
      <c r="AA30" s="44">
        <f t="shared" si="2"/>
        <v>205.8</v>
      </c>
      <c r="AB30" s="44"/>
      <c r="AC30" s="44">
        <f t="shared" si="3"/>
        <v>5264.23</v>
      </c>
      <c r="AD30" s="60"/>
    </row>
    <row r="31" ht="14.25" customHeight="1">
      <c r="A31" s="47">
        <v>45868.0</v>
      </c>
      <c r="B31" s="53">
        <v>240.9</v>
      </c>
      <c r="C31" s="53">
        <v>7.0</v>
      </c>
      <c r="D31" s="53">
        <v>70.0</v>
      </c>
      <c r="E31" s="44"/>
      <c r="F31" s="53">
        <v>6.5</v>
      </c>
      <c r="G31" s="82">
        <v>13.9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53">
        <v>25.0</v>
      </c>
      <c r="W31" s="46"/>
      <c r="X31" s="44">
        <f t="shared" si="1"/>
        <v>97.4</v>
      </c>
      <c r="Y31" s="44"/>
      <c r="Z31" s="44"/>
      <c r="AA31" s="44">
        <f t="shared" si="2"/>
        <v>143.5</v>
      </c>
      <c r="AB31" s="44"/>
      <c r="AC31" s="44">
        <f t="shared" si="3"/>
        <v>5407.73</v>
      </c>
      <c r="AD31" s="62">
        <v>1950.0</v>
      </c>
    </row>
    <row r="32" ht="14.25" customHeight="1">
      <c r="A32" s="47">
        <v>45869.0</v>
      </c>
      <c r="B32" s="53">
        <v>256.8</v>
      </c>
      <c r="C32" s="53">
        <v>7.0</v>
      </c>
      <c r="D32" s="53">
        <v>60.0</v>
      </c>
      <c r="E32" s="44"/>
      <c r="F32" s="53">
        <v>21.4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53">
        <v>18.0</v>
      </c>
      <c r="W32" s="46"/>
      <c r="X32" s="44">
        <f t="shared" si="1"/>
        <v>88.4</v>
      </c>
      <c r="Y32" s="44">
        <f>sum(B29:B32)</f>
        <v>1412.88</v>
      </c>
      <c r="Z32" s="44">
        <f>sum(X29:X32)</f>
        <v>445.8</v>
      </c>
      <c r="AA32" s="44">
        <f t="shared" si="2"/>
        <v>168.4</v>
      </c>
      <c r="AB32" s="44">
        <f>Y32-Z32</f>
        <v>967.08</v>
      </c>
      <c r="AC32" s="44">
        <f t="shared" si="3"/>
        <v>5576.13</v>
      </c>
      <c r="AD32" s="60"/>
    </row>
    <row r="33" ht="14.25" customHeight="1"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6"/>
      <c r="X33" s="44"/>
      <c r="Y33" s="44"/>
      <c r="Z33" s="44"/>
      <c r="AA33" s="44"/>
      <c r="AB33" s="44"/>
      <c r="AC33" s="44"/>
      <c r="AD33" s="60"/>
    </row>
    <row r="34" ht="14.25" customHeight="1">
      <c r="A34" s="44" t="str">
        <f>count(B2:B32,"number")&amp;" "&amp;"/"&amp;" "&amp;countif(B2:B32,"")</f>
        <v>31 / 0</v>
      </c>
      <c r="B34" s="44">
        <f t="shared" ref="B34:U34" si="4">SUM(B2:B33)</f>
        <v>9855.28</v>
      </c>
      <c r="C34" s="44">
        <f t="shared" si="4"/>
        <v>210</v>
      </c>
      <c r="D34" s="44">
        <f t="shared" si="4"/>
        <v>1683</v>
      </c>
      <c r="E34" s="44">
        <f t="shared" si="4"/>
        <v>435</v>
      </c>
      <c r="F34" s="44">
        <f t="shared" si="4"/>
        <v>397.9</v>
      </c>
      <c r="G34" s="44">
        <f t="shared" si="4"/>
        <v>268.02</v>
      </c>
      <c r="H34" s="44">
        <f t="shared" si="4"/>
        <v>0</v>
      </c>
      <c r="I34" s="44">
        <f t="shared" si="4"/>
        <v>156.63</v>
      </c>
      <c r="J34" s="44">
        <f t="shared" si="4"/>
        <v>175</v>
      </c>
      <c r="K34" s="44">
        <f t="shared" si="4"/>
        <v>119.7</v>
      </c>
      <c r="L34" s="44">
        <f t="shared" si="4"/>
        <v>0</v>
      </c>
      <c r="M34" s="44">
        <f t="shared" si="4"/>
        <v>0</v>
      </c>
      <c r="N34" s="44">
        <f t="shared" si="4"/>
        <v>15.9</v>
      </c>
      <c r="O34" s="44">
        <f t="shared" si="4"/>
        <v>203</v>
      </c>
      <c r="P34" s="44">
        <f t="shared" si="4"/>
        <v>36</v>
      </c>
      <c r="Q34" s="44">
        <f t="shared" si="4"/>
        <v>11</v>
      </c>
      <c r="R34" s="44">
        <f t="shared" si="4"/>
        <v>350</v>
      </c>
      <c r="S34" s="44">
        <f t="shared" si="4"/>
        <v>13</v>
      </c>
      <c r="T34" s="44">
        <f t="shared" si="4"/>
        <v>200</v>
      </c>
      <c r="U34" s="44">
        <f t="shared" si="4"/>
        <v>5</v>
      </c>
      <c r="V34" s="44"/>
      <c r="W34" s="46"/>
      <c r="X34" s="44">
        <f>SUM(X2:X33)</f>
        <v>4279.15</v>
      </c>
      <c r="Y34" s="44"/>
      <c r="Z34" s="44"/>
      <c r="AA34" s="44"/>
      <c r="AB34" s="44"/>
      <c r="AC34" s="44"/>
      <c r="AD34" s="60"/>
    </row>
    <row r="35" ht="14.25" customHeight="1">
      <c r="A35" s="57" t="s">
        <v>62</v>
      </c>
      <c r="B35" s="65">
        <f>B34-(C34+D34+E34+F34+G34+H34+I34+J34+K34+L34+M34+N34+O34+P34+Q34+R34+S34+T34+U34)</f>
        <v>5576.13</v>
      </c>
      <c r="C35" s="44"/>
      <c r="D35" s="44">
        <f>D34+E34</f>
        <v>2118</v>
      </c>
      <c r="F35" s="44">
        <f>G34+F34</f>
        <v>665.92</v>
      </c>
      <c r="H35" s="44"/>
      <c r="I35" s="44"/>
      <c r="J35" s="66" t="s">
        <v>80</v>
      </c>
      <c r="K35" s="67" t="s">
        <v>81</v>
      </c>
      <c r="L35" s="68" t="s">
        <v>82</v>
      </c>
      <c r="M35" s="69" t="s">
        <v>83</v>
      </c>
      <c r="N35" s="70" t="s">
        <v>84</v>
      </c>
      <c r="O35" s="71" t="s">
        <v>85</v>
      </c>
      <c r="P35" s="44"/>
      <c r="Q35" s="44"/>
      <c r="R35" s="44"/>
      <c r="S35" s="44"/>
      <c r="T35" s="44"/>
      <c r="U35" s="44"/>
      <c r="V35" s="44"/>
      <c r="W35" s="46" t="s">
        <v>63</v>
      </c>
      <c r="X35" s="46"/>
      <c r="Y35" s="46"/>
      <c r="Z35" s="46"/>
      <c r="AA35" s="83" t="str">
        <f>(5000-(B35))/countif(B2:B32,"")</f>
        <v>#DIV/0!</v>
      </c>
      <c r="AB35" s="59">
        <f>B35/B34</f>
        <v>0.5658012761</v>
      </c>
      <c r="AC35" s="59"/>
      <c r="AD35" s="60"/>
    </row>
  </sheetData>
  <mergeCells count="4">
    <mergeCell ref="D1:E1"/>
    <mergeCell ref="F1:G1"/>
    <mergeCell ref="D35:E35"/>
    <mergeCell ref="F35:G35"/>
  </mergeCells>
  <conditionalFormatting sqref="AC2:AC32">
    <cfRule type="cellIs" dxfId="2" priority="1" operator="lessThan">
      <formula>1000</formula>
    </cfRule>
  </conditionalFormatting>
  <conditionalFormatting sqref="AC2:AC32">
    <cfRule type="cellIs" dxfId="3" priority="2" operator="lessThan">
      <formula>2000</formula>
    </cfRule>
  </conditionalFormatting>
  <conditionalFormatting sqref="AC2:AC32">
    <cfRule type="cellIs" dxfId="4" priority="3" operator="lessThan">
      <formula>3000</formula>
    </cfRule>
  </conditionalFormatting>
  <conditionalFormatting sqref="AC2:AC32">
    <cfRule type="cellIs" dxfId="5" priority="4" operator="lessThan">
      <formula>4000</formula>
    </cfRule>
  </conditionalFormatting>
  <conditionalFormatting sqref="AC2:AC32">
    <cfRule type="cellIs" dxfId="6" priority="5" operator="lessThan">
      <formula>5000</formula>
    </cfRule>
  </conditionalFormatting>
  <conditionalFormatting sqref="AC2:AC32">
    <cfRule type="cellIs" dxfId="7" priority="6" operator="lessThan">
      <formula>6000</formula>
    </cfRule>
  </conditionalFormatting>
  <conditionalFormatting sqref="AC2:AC32">
    <cfRule type="cellIs" dxfId="8" priority="7" operator="greaterThan">
      <formula>6000</formula>
    </cfRule>
  </conditionalFormatting>
  <conditionalFormatting sqref="B2:B32">
    <cfRule type="cellIs" dxfId="9" priority="8" operator="between">
      <formula>0</formula>
      <formula>99.99</formula>
    </cfRule>
  </conditionalFormatting>
  <conditionalFormatting sqref="B2:B32">
    <cfRule type="cellIs" dxfId="3" priority="9" operator="between">
      <formula>100</formula>
      <formula>199.99</formula>
    </cfRule>
  </conditionalFormatting>
  <conditionalFormatting sqref="B2:B32">
    <cfRule type="cellIs" dxfId="10" priority="10" operator="between">
      <formula>200</formula>
      <formula>299.99</formula>
    </cfRule>
  </conditionalFormatting>
  <conditionalFormatting sqref="B2:B32">
    <cfRule type="cellIs" dxfId="5" priority="11" operator="between">
      <formula>300</formula>
      <formula>399.99</formula>
    </cfRule>
  </conditionalFormatting>
  <conditionalFormatting sqref="B2:B32">
    <cfRule type="cellIs" dxfId="6" priority="12" operator="between">
      <formula>400</formula>
      <formula>499.99</formula>
    </cfRule>
  </conditionalFormatting>
  <conditionalFormatting sqref="B2:B32">
    <cfRule type="cellIs" dxfId="7" priority="13" operator="greaterThan">
      <formula>500</formula>
    </cfRule>
  </conditionalFormatting>
  <conditionalFormatting sqref="AA2:AA32">
    <cfRule type="cellIs" dxfId="0" priority="14" operator="greaterThan">
      <formula>0</formula>
    </cfRule>
  </conditionalFormatting>
  <conditionalFormatting sqref="AA2:AA32">
    <cfRule type="cellIs" dxfId="11" priority="15" operator="less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88"/>
    <col customWidth="1" min="2" max="2" width="10.75"/>
    <col customWidth="1" min="3" max="3" width="8.63"/>
    <col customWidth="1" min="4" max="5" width="8.25"/>
    <col customWidth="1" min="6" max="7" width="8.0"/>
    <col customWidth="1" min="8" max="9" width="7.63"/>
    <col customWidth="1" min="10" max="14" width="9.75"/>
    <col customWidth="1" min="15" max="21" width="7.63"/>
    <col customWidth="1" min="22" max="23" width="14.38"/>
    <col customWidth="1" min="24" max="24" width="9.38"/>
    <col customWidth="1" min="25" max="25" width="11.5"/>
    <col customWidth="1" min="26" max="30" width="9.38"/>
  </cols>
  <sheetData>
    <row r="1" ht="14.25" customHeight="1">
      <c r="A1" s="44" t="s">
        <v>53</v>
      </c>
      <c r="B1" s="44" t="s">
        <v>1</v>
      </c>
      <c r="C1" s="44" t="s">
        <v>16</v>
      </c>
      <c r="D1" s="44" t="s">
        <v>17</v>
      </c>
      <c r="F1" s="44" t="s">
        <v>18</v>
      </c>
      <c r="H1" s="44" t="s">
        <v>19</v>
      </c>
      <c r="I1" s="44" t="s">
        <v>20</v>
      </c>
      <c r="J1" s="44" t="s">
        <v>21</v>
      </c>
      <c r="K1" s="44" t="s">
        <v>22</v>
      </c>
      <c r="L1" s="44" t="s">
        <v>23</v>
      </c>
      <c r="M1" s="44" t="s">
        <v>24</v>
      </c>
      <c r="N1" s="44" t="s">
        <v>25</v>
      </c>
      <c r="O1" s="44" t="s">
        <v>26</v>
      </c>
      <c r="P1" s="44" t="s">
        <v>27</v>
      </c>
      <c r="Q1" s="44" t="s">
        <v>28</v>
      </c>
      <c r="R1" s="44" t="s">
        <v>29</v>
      </c>
      <c r="S1" s="44" t="s">
        <v>32</v>
      </c>
      <c r="T1" s="44" t="s">
        <v>34</v>
      </c>
      <c r="U1" s="44" t="s">
        <v>36</v>
      </c>
      <c r="V1" s="53" t="s">
        <v>40</v>
      </c>
      <c r="W1" s="46" t="s">
        <v>54</v>
      </c>
      <c r="X1" s="44" t="s">
        <v>2</v>
      </c>
      <c r="Y1" s="44" t="s">
        <v>55</v>
      </c>
      <c r="Z1" s="44" t="s">
        <v>56</v>
      </c>
      <c r="AA1" s="44" t="s">
        <v>57</v>
      </c>
      <c r="AB1" s="44" t="s">
        <v>58</v>
      </c>
      <c r="AC1" s="53" t="s">
        <v>78</v>
      </c>
      <c r="AD1" s="60"/>
    </row>
    <row r="2" ht="14.25" customHeight="1">
      <c r="A2" s="47">
        <v>45870.0</v>
      </c>
      <c r="B2" s="53">
        <v>476.1</v>
      </c>
      <c r="C2" s="53">
        <v>7.0</v>
      </c>
      <c r="D2" s="53">
        <v>55.0</v>
      </c>
      <c r="E2" s="44"/>
      <c r="F2" s="53">
        <f>6.8+2</f>
        <v>8.8</v>
      </c>
      <c r="G2" s="44"/>
      <c r="H2" s="44"/>
      <c r="I2" s="44"/>
      <c r="J2" s="44"/>
      <c r="K2" s="44"/>
      <c r="L2" s="44"/>
      <c r="M2" s="44"/>
      <c r="N2" s="53">
        <v>15.9</v>
      </c>
      <c r="O2" s="44"/>
      <c r="P2" s="44"/>
      <c r="Q2" s="44"/>
      <c r="R2" s="53"/>
      <c r="S2" s="44"/>
      <c r="T2" s="53"/>
      <c r="U2" s="44"/>
      <c r="V2" s="53">
        <v>36.0</v>
      </c>
      <c r="W2" s="46"/>
      <c r="X2" s="44">
        <f t="shared" ref="X2:X32" si="1">sum(C2:U2)</f>
        <v>86.7</v>
      </c>
      <c r="Y2" s="44"/>
      <c r="Z2" s="44"/>
      <c r="AA2" s="44">
        <f t="shared" ref="AA2:AA32" si="2">B2-X2</f>
        <v>389.4</v>
      </c>
      <c r="AB2" s="44"/>
      <c r="AC2" s="44">
        <f>AA2</f>
        <v>389.4</v>
      </c>
      <c r="AD2" s="60"/>
    </row>
    <row r="3" ht="14.25" customHeight="1">
      <c r="A3" s="47">
        <v>45871.0</v>
      </c>
      <c r="B3" s="53">
        <v>261.6</v>
      </c>
      <c r="C3" s="53">
        <v>7.0</v>
      </c>
      <c r="D3" s="53">
        <v>55.0</v>
      </c>
      <c r="E3" s="44"/>
      <c r="F3" s="53">
        <v>6.5</v>
      </c>
      <c r="G3" s="44"/>
      <c r="H3" s="44"/>
      <c r="I3" s="53">
        <v>5.0</v>
      </c>
      <c r="J3" s="44"/>
      <c r="K3" s="53">
        <v>6.8</v>
      </c>
      <c r="L3" s="44"/>
      <c r="M3" s="44"/>
      <c r="N3" s="44"/>
      <c r="O3" s="44"/>
      <c r="P3" s="44"/>
      <c r="Q3" s="44"/>
      <c r="R3" s="44"/>
      <c r="S3" s="44"/>
      <c r="T3" s="53">
        <v>200.0</v>
      </c>
      <c r="U3" s="44"/>
      <c r="V3" s="53">
        <v>21.0</v>
      </c>
      <c r="W3" s="46"/>
      <c r="X3" s="44">
        <f t="shared" si="1"/>
        <v>280.3</v>
      </c>
      <c r="Y3" s="44"/>
      <c r="Z3" s="44"/>
      <c r="AA3" s="44">
        <f t="shared" si="2"/>
        <v>-18.7</v>
      </c>
      <c r="AB3" s="44"/>
      <c r="AC3" s="44">
        <f t="shared" ref="AC3:AC32" si="3">AC2+AA3</f>
        <v>370.7</v>
      </c>
      <c r="AD3" s="60"/>
    </row>
    <row r="4" ht="14.25" customHeight="1">
      <c r="A4" s="48">
        <v>45872.0</v>
      </c>
      <c r="B4" s="51">
        <v>272.0</v>
      </c>
      <c r="C4" s="51">
        <v>7.0</v>
      </c>
      <c r="D4" s="51">
        <v>55.0</v>
      </c>
      <c r="E4" s="50"/>
      <c r="F4" s="51">
        <v>15.5</v>
      </c>
      <c r="G4" s="50"/>
      <c r="H4" s="50"/>
      <c r="I4" s="50"/>
      <c r="J4" s="50"/>
      <c r="K4" s="50">
        <f>10.9+6.6</f>
        <v>17.5</v>
      </c>
      <c r="L4" s="50"/>
      <c r="M4" s="50"/>
      <c r="N4" s="50"/>
      <c r="O4" s="50"/>
      <c r="P4" s="50"/>
      <c r="Q4" s="50"/>
      <c r="R4" s="51"/>
      <c r="S4" s="50"/>
      <c r="T4" s="50"/>
      <c r="U4" s="50"/>
      <c r="V4" s="51">
        <v>23.0</v>
      </c>
      <c r="W4" s="52"/>
      <c r="X4" s="50">
        <f t="shared" si="1"/>
        <v>95</v>
      </c>
      <c r="Y4" s="50">
        <f>sum(B2:B4)</f>
        <v>1009.7</v>
      </c>
      <c r="Z4" s="50">
        <f>sum(X2:X4)</f>
        <v>462</v>
      </c>
      <c r="AA4" s="50">
        <f t="shared" si="2"/>
        <v>177</v>
      </c>
      <c r="AB4" s="50">
        <f>Y4-Z4</f>
        <v>547.7</v>
      </c>
      <c r="AC4" s="50">
        <f t="shared" si="3"/>
        <v>547.7</v>
      </c>
      <c r="AD4" s="61"/>
    </row>
    <row r="5" ht="14.25" customHeight="1">
      <c r="A5" s="47">
        <v>45873.0</v>
      </c>
      <c r="B5" s="53">
        <v>432.93</v>
      </c>
      <c r="C5" s="53">
        <v>7.0</v>
      </c>
      <c r="D5" s="53">
        <v>65.0</v>
      </c>
      <c r="E5" s="44"/>
      <c r="F5" s="53">
        <v>8.0</v>
      </c>
      <c r="G5" s="44"/>
      <c r="H5" s="53">
        <v>220.0</v>
      </c>
      <c r="I5" s="44"/>
      <c r="J5" s="44"/>
      <c r="K5" s="44"/>
      <c r="L5" s="44"/>
      <c r="M5" s="44"/>
      <c r="N5" s="44"/>
      <c r="O5" s="44"/>
      <c r="P5" s="44"/>
      <c r="Q5" s="44"/>
      <c r="R5" s="53">
        <v>350.0</v>
      </c>
      <c r="S5" s="53">
        <v>12.24</v>
      </c>
      <c r="T5" s="44"/>
      <c r="U5" s="41"/>
      <c r="V5" s="53">
        <v>23.0</v>
      </c>
      <c r="W5" s="54" t="s">
        <v>105</v>
      </c>
      <c r="X5" s="44">
        <f t="shared" si="1"/>
        <v>662.24</v>
      </c>
      <c r="Y5" s="44"/>
      <c r="Z5" s="44"/>
      <c r="AA5" s="44">
        <f t="shared" si="2"/>
        <v>-229.31</v>
      </c>
      <c r="AB5" s="44"/>
      <c r="AC5" s="44">
        <f t="shared" si="3"/>
        <v>318.39</v>
      </c>
      <c r="AD5" s="60"/>
    </row>
    <row r="6" ht="14.25" customHeight="1">
      <c r="A6" s="47">
        <v>45874.0</v>
      </c>
      <c r="B6" s="53">
        <v>216.8</v>
      </c>
      <c r="C6" s="53">
        <v>7.0</v>
      </c>
      <c r="D6" s="53">
        <v>65.0</v>
      </c>
      <c r="E6" s="44"/>
      <c r="F6" s="53">
        <v>7.0</v>
      </c>
      <c r="G6" s="53">
        <v>14.0</v>
      </c>
      <c r="H6" s="44"/>
      <c r="I6" s="53">
        <v>2.46</v>
      </c>
      <c r="J6" s="44"/>
      <c r="K6" s="53">
        <v>6.35</v>
      </c>
      <c r="L6" s="44"/>
      <c r="M6" s="44"/>
      <c r="N6" s="44"/>
      <c r="O6" s="44"/>
      <c r="P6" s="44"/>
      <c r="Q6" s="44"/>
      <c r="R6" s="44"/>
      <c r="S6" s="44"/>
      <c r="T6" s="44"/>
      <c r="U6" s="44"/>
      <c r="V6" s="53">
        <v>15.0</v>
      </c>
      <c r="W6" s="46"/>
      <c r="X6" s="44">
        <f t="shared" si="1"/>
        <v>101.81</v>
      </c>
      <c r="Y6" s="44"/>
      <c r="Z6" s="44"/>
      <c r="AA6" s="44">
        <f t="shared" si="2"/>
        <v>114.99</v>
      </c>
      <c r="AB6" s="44"/>
      <c r="AC6" s="44">
        <f t="shared" si="3"/>
        <v>433.38</v>
      </c>
      <c r="AD6" s="60"/>
    </row>
    <row r="7" ht="14.25" customHeight="1">
      <c r="A7" s="47">
        <v>45875.0</v>
      </c>
      <c r="B7" s="53">
        <v>203.2</v>
      </c>
      <c r="C7" s="53">
        <v>7.0</v>
      </c>
      <c r="D7" s="53">
        <v>60.0</v>
      </c>
      <c r="E7" s="44"/>
      <c r="F7" s="53">
        <v>22.66</v>
      </c>
      <c r="G7" s="53">
        <f>12.6+3</f>
        <v>15.6</v>
      </c>
      <c r="H7" s="44"/>
      <c r="I7" s="44"/>
      <c r="J7" s="44"/>
      <c r="K7" s="44"/>
      <c r="L7" s="44"/>
      <c r="M7" s="44"/>
      <c r="N7" s="44"/>
      <c r="O7" s="53">
        <v>2.0</v>
      </c>
      <c r="P7" s="44"/>
      <c r="Q7" s="44"/>
      <c r="R7" s="44"/>
      <c r="S7" s="44"/>
      <c r="T7" s="44"/>
      <c r="U7" s="44"/>
      <c r="V7" s="53">
        <v>26.0</v>
      </c>
      <c r="W7" s="54" t="s">
        <v>106</v>
      </c>
      <c r="X7" s="44">
        <f t="shared" si="1"/>
        <v>107.26</v>
      </c>
      <c r="Y7" s="44"/>
      <c r="Z7" s="44"/>
      <c r="AA7" s="44">
        <f t="shared" si="2"/>
        <v>95.94</v>
      </c>
      <c r="AB7" s="44"/>
      <c r="AC7" s="44">
        <f t="shared" si="3"/>
        <v>529.32</v>
      </c>
      <c r="AD7" s="60"/>
    </row>
    <row r="8" ht="14.25" customHeight="1">
      <c r="A8" s="47">
        <v>45876.0</v>
      </c>
      <c r="B8" s="53">
        <v>396.4</v>
      </c>
      <c r="C8" s="53">
        <v>7.0</v>
      </c>
      <c r="D8" s="53">
        <v>63.0</v>
      </c>
      <c r="E8" s="53">
        <v>55.0</v>
      </c>
      <c r="F8" s="53">
        <v>12.79</v>
      </c>
      <c r="G8" s="53">
        <v>16.5</v>
      </c>
      <c r="H8" s="44"/>
      <c r="I8" s="53">
        <v>3.5</v>
      </c>
      <c r="J8" s="44"/>
      <c r="K8" s="44"/>
      <c r="L8" s="44"/>
      <c r="M8" s="44"/>
      <c r="N8" s="53"/>
      <c r="O8" s="44"/>
      <c r="P8" s="44"/>
      <c r="Q8" s="44"/>
      <c r="R8" s="44"/>
      <c r="S8" s="44"/>
      <c r="T8" s="44"/>
      <c r="U8" s="44"/>
      <c r="V8" s="53">
        <v>31.0</v>
      </c>
      <c r="W8" s="54"/>
      <c r="X8" s="44">
        <f t="shared" si="1"/>
        <v>157.79</v>
      </c>
      <c r="Y8" s="44"/>
      <c r="Z8" s="44"/>
      <c r="AA8" s="44">
        <f t="shared" si="2"/>
        <v>238.61</v>
      </c>
      <c r="AB8" s="44"/>
      <c r="AC8" s="44">
        <f t="shared" si="3"/>
        <v>767.93</v>
      </c>
      <c r="AD8" s="60"/>
    </row>
    <row r="9" ht="14.25" customHeight="1">
      <c r="A9" s="47">
        <v>45877.0</v>
      </c>
      <c r="B9" s="53">
        <v>442.3</v>
      </c>
      <c r="C9" s="53">
        <v>7.0</v>
      </c>
      <c r="D9" s="53">
        <v>55.0</v>
      </c>
      <c r="E9" s="53">
        <v>50.0</v>
      </c>
      <c r="F9" s="53">
        <v>8.5</v>
      </c>
      <c r="G9" s="44"/>
      <c r="H9" s="44"/>
      <c r="I9" s="53">
        <v>3.5</v>
      </c>
      <c r="J9" s="44"/>
      <c r="K9" s="44"/>
      <c r="L9" s="44"/>
      <c r="M9" s="44"/>
      <c r="O9" s="44"/>
      <c r="P9" s="44"/>
      <c r="Q9" s="44"/>
      <c r="R9" s="44"/>
      <c r="S9" s="44"/>
      <c r="T9" s="44"/>
      <c r="U9" s="44"/>
      <c r="V9" s="53">
        <v>29.0</v>
      </c>
      <c r="W9" s="46"/>
      <c r="X9" s="44">
        <f t="shared" si="1"/>
        <v>124</v>
      </c>
      <c r="Y9" s="44"/>
      <c r="Z9" s="44"/>
      <c r="AA9" s="44">
        <f t="shared" si="2"/>
        <v>318.3</v>
      </c>
      <c r="AB9" s="44"/>
      <c r="AC9" s="44">
        <f t="shared" si="3"/>
        <v>1086.23</v>
      </c>
      <c r="AD9" s="60"/>
    </row>
    <row r="10" ht="14.25" customHeight="1">
      <c r="A10" s="47">
        <v>45878.0</v>
      </c>
      <c r="B10" s="53">
        <v>232.0</v>
      </c>
      <c r="C10" s="53">
        <v>7.0</v>
      </c>
      <c r="D10" s="53">
        <v>65.0</v>
      </c>
      <c r="E10" s="44"/>
      <c r="F10" s="53">
        <v>8.9</v>
      </c>
      <c r="G10" s="44"/>
      <c r="H10" s="44"/>
      <c r="I10" s="53">
        <v>3.5</v>
      </c>
      <c r="J10" s="44"/>
      <c r="K10" s="44"/>
      <c r="L10" s="53"/>
      <c r="M10" s="44"/>
      <c r="N10" s="44"/>
      <c r="O10" s="44"/>
      <c r="P10" s="44"/>
      <c r="Q10" s="44"/>
      <c r="R10" s="44"/>
      <c r="S10" s="44"/>
      <c r="T10" s="44"/>
      <c r="U10" s="44"/>
      <c r="V10" s="53">
        <v>19.0</v>
      </c>
      <c r="W10" s="54"/>
      <c r="X10" s="44">
        <f t="shared" si="1"/>
        <v>84.4</v>
      </c>
      <c r="Y10" s="44"/>
      <c r="Z10" s="44"/>
      <c r="AA10" s="44">
        <f t="shared" si="2"/>
        <v>147.6</v>
      </c>
      <c r="AB10" s="44"/>
      <c r="AC10" s="44">
        <f t="shared" si="3"/>
        <v>1233.83</v>
      </c>
      <c r="AD10" s="62">
        <v>1560.0</v>
      </c>
    </row>
    <row r="11" ht="14.25" customHeight="1">
      <c r="A11" s="48">
        <v>45879.0</v>
      </c>
      <c r="B11" s="51">
        <v>422.8</v>
      </c>
      <c r="C11" s="51">
        <v>7.0</v>
      </c>
      <c r="D11" s="51">
        <v>60.0</v>
      </c>
      <c r="E11" s="50"/>
      <c r="F11" s="51">
        <v>17.5</v>
      </c>
      <c r="G11" s="51">
        <v>12.0</v>
      </c>
      <c r="H11" s="50"/>
      <c r="I11" s="50"/>
      <c r="J11" s="50"/>
      <c r="K11" s="50"/>
      <c r="L11" s="51"/>
      <c r="M11" s="50"/>
      <c r="N11" s="50"/>
      <c r="O11" s="50"/>
      <c r="P11" s="50"/>
      <c r="Q11" s="50"/>
      <c r="R11" s="50"/>
      <c r="S11" s="50"/>
      <c r="T11" s="50"/>
      <c r="U11" s="50"/>
      <c r="V11" s="51">
        <v>34.0</v>
      </c>
      <c r="W11" s="55"/>
      <c r="X11" s="50">
        <f t="shared" si="1"/>
        <v>96.5</v>
      </c>
      <c r="Y11" s="50">
        <f>sum(B5:B11)</f>
        <v>2346.43</v>
      </c>
      <c r="Z11" s="50">
        <f>sum(X5:X11)</f>
        <v>1334</v>
      </c>
      <c r="AA11" s="50">
        <f t="shared" si="2"/>
        <v>326.3</v>
      </c>
      <c r="AB11" s="50">
        <f>Y11-Z11</f>
        <v>1012.43</v>
      </c>
      <c r="AC11" s="50">
        <f t="shared" si="3"/>
        <v>1560.13</v>
      </c>
      <c r="AD11" s="61"/>
    </row>
    <row r="12" ht="14.25" customHeight="1">
      <c r="A12" s="47">
        <v>45880.0</v>
      </c>
      <c r="B12" s="53">
        <v>629.17</v>
      </c>
      <c r="C12" s="53">
        <v>7.0</v>
      </c>
      <c r="D12" s="53">
        <v>65.0</v>
      </c>
      <c r="E12" s="44"/>
      <c r="F12" s="53">
        <v>8.0</v>
      </c>
      <c r="G12" s="44"/>
      <c r="H12" s="44"/>
      <c r="I12" s="53">
        <v>4.59</v>
      </c>
      <c r="J12" s="44"/>
      <c r="K12" s="53">
        <v>6.9</v>
      </c>
      <c r="L12" s="53"/>
      <c r="M12" s="44"/>
      <c r="N12" s="44"/>
      <c r="O12" s="44"/>
      <c r="P12" s="44"/>
      <c r="Q12" s="44"/>
      <c r="R12" s="44"/>
      <c r="S12" s="44"/>
      <c r="T12" s="44"/>
      <c r="U12" s="44"/>
      <c r="V12" s="53">
        <v>18.0</v>
      </c>
      <c r="W12" s="46"/>
      <c r="X12" s="44">
        <f t="shared" si="1"/>
        <v>91.49</v>
      </c>
      <c r="Y12" s="44"/>
      <c r="Z12" s="44"/>
      <c r="AA12" s="44">
        <f t="shared" si="2"/>
        <v>537.68</v>
      </c>
      <c r="AB12" s="44"/>
      <c r="AC12" s="44">
        <f t="shared" si="3"/>
        <v>2097.81</v>
      </c>
      <c r="AD12" s="60"/>
    </row>
    <row r="13" ht="14.25" customHeight="1">
      <c r="A13" s="47">
        <v>45881.0</v>
      </c>
      <c r="B13" s="53">
        <v>200.0</v>
      </c>
      <c r="C13" s="53">
        <v>7.0</v>
      </c>
      <c r="D13" s="53">
        <v>65.0</v>
      </c>
      <c r="E13" s="44"/>
      <c r="F13" s="53">
        <v>51.8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53">
        <v>18.0</v>
      </c>
      <c r="W13" s="54" t="s">
        <v>107</v>
      </c>
      <c r="X13" s="44">
        <f t="shared" si="1"/>
        <v>123.8</v>
      </c>
      <c r="Y13" s="44"/>
      <c r="Z13" s="44"/>
      <c r="AA13" s="44">
        <f t="shared" si="2"/>
        <v>76.2</v>
      </c>
      <c r="AB13" s="44"/>
      <c r="AC13" s="44">
        <f t="shared" si="3"/>
        <v>2174.01</v>
      </c>
      <c r="AD13" s="60"/>
    </row>
    <row r="14" ht="14.25" customHeight="1">
      <c r="A14" s="47">
        <v>45882.0</v>
      </c>
      <c r="B14" s="53">
        <v>204.0</v>
      </c>
      <c r="C14" s="53">
        <v>7.0</v>
      </c>
      <c r="D14" s="53">
        <v>65.0</v>
      </c>
      <c r="E14" s="44"/>
      <c r="F14" s="53">
        <v>53.0</v>
      </c>
      <c r="G14" s="53">
        <v>38.3</v>
      </c>
      <c r="H14" s="44"/>
      <c r="I14" s="53">
        <v>3.85</v>
      </c>
      <c r="J14" s="44"/>
      <c r="K14" s="53">
        <v>5.7</v>
      </c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53">
        <v>20.0</v>
      </c>
      <c r="W14" s="46"/>
      <c r="X14" s="44">
        <f t="shared" si="1"/>
        <v>172.85</v>
      </c>
      <c r="Y14" s="44"/>
      <c r="Z14" s="44"/>
      <c r="AA14" s="44">
        <f t="shared" si="2"/>
        <v>31.15</v>
      </c>
      <c r="AB14" s="44"/>
      <c r="AC14" s="44">
        <f t="shared" si="3"/>
        <v>2205.16</v>
      </c>
      <c r="AD14" s="60"/>
    </row>
    <row r="15" ht="14.25" customHeight="1">
      <c r="A15" s="47">
        <v>45883.0</v>
      </c>
      <c r="B15" s="53">
        <v>304.1</v>
      </c>
      <c r="C15" s="53">
        <v>7.0</v>
      </c>
      <c r="D15" s="44"/>
      <c r="E15" s="44"/>
      <c r="F15" s="53">
        <v>12.0</v>
      </c>
      <c r="G15" s="53">
        <v>11.4</v>
      </c>
      <c r="H15" s="44"/>
      <c r="I15" s="53">
        <v>2.46</v>
      </c>
      <c r="J15" s="44"/>
      <c r="K15" s="53">
        <v>7.65</v>
      </c>
      <c r="L15" s="53"/>
      <c r="M15" s="44"/>
      <c r="N15" s="44"/>
      <c r="O15" s="44"/>
      <c r="P15" s="44"/>
      <c r="Q15" s="44"/>
      <c r="R15" s="44"/>
      <c r="S15" s="44"/>
      <c r="T15" s="44"/>
      <c r="U15" s="44"/>
      <c r="V15" s="53">
        <v>20.0</v>
      </c>
      <c r="W15" s="46"/>
      <c r="X15" s="44">
        <f t="shared" si="1"/>
        <v>40.51</v>
      </c>
      <c r="Y15" s="44"/>
      <c r="Z15" s="44"/>
      <c r="AA15" s="44">
        <f t="shared" si="2"/>
        <v>263.59</v>
      </c>
      <c r="AB15" s="44"/>
      <c r="AC15" s="44">
        <f t="shared" si="3"/>
        <v>2468.75</v>
      </c>
      <c r="AD15" s="60"/>
    </row>
    <row r="16" ht="14.25" customHeight="1">
      <c r="A16" s="47">
        <v>45884.0</v>
      </c>
      <c r="B16" s="53">
        <v>213.7</v>
      </c>
      <c r="C16" s="53">
        <v>7.0</v>
      </c>
      <c r="D16" s="53">
        <v>55.0</v>
      </c>
      <c r="E16" s="44"/>
      <c r="F16" s="53">
        <v>11.5</v>
      </c>
      <c r="G16" s="44">
        <f>5+4+12.5+3</f>
        <v>24.5</v>
      </c>
      <c r="H16" s="44"/>
      <c r="I16" s="53">
        <v>5.46</v>
      </c>
      <c r="J16" s="44"/>
      <c r="K16" s="53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53">
        <v>14.0</v>
      </c>
      <c r="W16" s="46"/>
      <c r="X16" s="44">
        <f t="shared" si="1"/>
        <v>103.46</v>
      </c>
      <c r="Y16" s="44"/>
      <c r="Z16" s="44"/>
      <c r="AA16" s="44">
        <f t="shared" si="2"/>
        <v>110.24</v>
      </c>
      <c r="AB16" s="44"/>
      <c r="AC16" s="44">
        <f t="shared" si="3"/>
        <v>2578.99</v>
      </c>
      <c r="AD16" s="60"/>
    </row>
    <row r="17" ht="14.25" customHeight="1">
      <c r="A17" s="47">
        <v>45885.0</v>
      </c>
      <c r="B17" s="53">
        <v>366.4</v>
      </c>
      <c r="C17" s="53">
        <v>7.0</v>
      </c>
      <c r="D17" s="44"/>
      <c r="E17" s="44"/>
      <c r="F17" s="53">
        <v>5.6</v>
      </c>
      <c r="G17" s="53">
        <v>11.5</v>
      </c>
      <c r="H17" s="44"/>
      <c r="I17" s="44"/>
      <c r="J17" s="44"/>
      <c r="K17" s="44"/>
      <c r="L17" s="53"/>
      <c r="M17" s="44"/>
      <c r="N17" s="44"/>
      <c r="O17" s="53">
        <v>11.0</v>
      </c>
      <c r="P17" s="44"/>
      <c r="Q17" s="44"/>
      <c r="R17" s="44"/>
      <c r="S17" s="44"/>
      <c r="T17" s="44"/>
      <c r="U17" s="44"/>
      <c r="V17" s="53">
        <v>30.0</v>
      </c>
      <c r="W17" s="46"/>
      <c r="X17" s="44">
        <f t="shared" si="1"/>
        <v>35.1</v>
      </c>
      <c r="Y17" s="44"/>
      <c r="Z17" s="44"/>
      <c r="AA17" s="44">
        <f t="shared" si="2"/>
        <v>331.3</v>
      </c>
      <c r="AB17" s="44"/>
      <c r="AC17" s="44">
        <f t="shared" si="3"/>
        <v>2910.29</v>
      </c>
      <c r="AD17" s="60"/>
    </row>
    <row r="18" ht="14.25" customHeight="1">
      <c r="A18" s="48">
        <v>45886.0</v>
      </c>
      <c r="B18" s="51">
        <v>369.6</v>
      </c>
      <c r="C18" s="51">
        <v>7.0</v>
      </c>
      <c r="D18" s="51">
        <v>65.0</v>
      </c>
      <c r="E18" s="51">
        <v>68.0</v>
      </c>
      <c r="F18" s="51">
        <v>15.4</v>
      </c>
      <c r="G18" s="50"/>
      <c r="H18" s="50"/>
      <c r="I18" s="51">
        <f>3.2+2+11.5</f>
        <v>16.7</v>
      </c>
      <c r="J18" s="50"/>
      <c r="K18" s="51">
        <v>10.5</v>
      </c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1">
        <v>27.0</v>
      </c>
      <c r="W18" s="52"/>
      <c r="X18" s="50">
        <f t="shared" si="1"/>
        <v>182.6</v>
      </c>
      <c r="Y18" s="50">
        <f>sum(B12:B18)</f>
        <v>2286.97</v>
      </c>
      <c r="Z18" s="50">
        <f>sum(X12:X18)</f>
        <v>749.81</v>
      </c>
      <c r="AA18" s="50">
        <f t="shared" si="2"/>
        <v>187</v>
      </c>
      <c r="AB18" s="50">
        <f>Y18-Z18</f>
        <v>1537.16</v>
      </c>
      <c r="AC18" s="50">
        <f t="shared" si="3"/>
        <v>3097.29</v>
      </c>
      <c r="AD18" s="61"/>
    </row>
    <row r="19" ht="14.25" customHeight="1">
      <c r="A19" s="47">
        <v>45887.0</v>
      </c>
      <c r="B19" s="53">
        <v>389.35</v>
      </c>
      <c r="C19" s="53">
        <v>7.0</v>
      </c>
      <c r="D19" s="44"/>
      <c r="E19" s="44"/>
      <c r="F19" s="53">
        <v>15.4</v>
      </c>
      <c r="G19" s="44"/>
      <c r="H19" s="44"/>
      <c r="I19" s="44"/>
      <c r="J19" s="44"/>
      <c r="K19" s="53" t="str">
        <f>U192</f>
        <v/>
      </c>
      <c r="L19" s="44"/>
      <c r="M19" s="44"/>
      <c r="N19" s="44"/>
      <c r="O19" s="44"/>
      <c r="P19" s="44"/>
      <c r="Q19" s="44"/>
      <c r="R19" s="44"/>
      <c r="S19" s="44"/>
      <c r="T19" s="44"/>
      <c r="U19" s="53">
        <f>20+15.5</f>
        <v>35.5</v>
      </c>
      <c r="V19" s="53">
        <v>15.0</v>
      </c>
      <c r="W19" s="54" t="s">
        <v>108</v>
      </c>
      <c r="X19" s="44">
        <f t="shared" si="1"/>
        <v>57.9</v>
      </c>
      <c r="Y19" s="44"/>
      <c r="Z19" s="44"/>
      <c r="AA19" s="44">
        <f t="shared" si="2"/>
        <v>331.45</v>
      </c>
      <c r="AB19" s="44"/>
      <c r="AC19" s="44">
        <f t="shared" si="3"/>
        <v>3428.74</v>
      </c>
      <c r="AD19" s="60"/>
    </row>
    <row r="20" ht="14.25" customHeight="1">
      <c r="A20" s="47">
        <v>45888.0</v>
      </c>
      <c r="B20" s="53">
        <v>216.7</v>
      </c>
      <c r="C20" s="53">
        <v>7.0</v>
      </c>
      <c r="D20" s="53">
        <v>60.0</v>
      </c>
      <c r="E20" s="53">
        <v>55.0</v>
      </c>
      <c r="F20" s="53">
        <v>11.1</v>
      </c>
      <c r="G20" s="44"/>
      <c r="H20" s="44"/>
      <c r="I20" s="44"/>
      <c r="J20" s="44"/>
      <c r="K20" s="44">
        <f>4.95</f>
        <v>4.95</v>
      </c>
      <c r="L20" s="44"/>
      <c r="M20" s="44"/>
      <c r="N20" s="44"/>
      <c r="O20" s="44"/>
      <c r="P20" s="44"/>
      <c r="Q20" s="44"/>
      <c r="R20" s="44"/>
      <c r="S20" s="44"/>
      <c r="T20" s="44"/>
      <c r="U20" s="53">
        <f>39+23.1</f>
        <v>62.1</v>
      </c>
      <c r="V20" s="53">
        <v>16.0</v>
      </c>
      <c r="W20" s="54" t="s">
        <v>109</v>
      </c>
      <c r="X20" s="44">
        <f t="shared" si="1"/>
        <v>200.15</v>
      </c>
      <c r="Y20" s="44"/>
      <c r="Z20" s="44"/>
      <c r="AA20" s="44">
        <f t="shared" si="2"/>
        <v>16.55</v>
      </c>
      <c r="AB20" s="44"/>
      <c r="AC20" s="44">
        <f t="shared" si="3"/>
        <v>3445.29</v>
      </c>
      <c r="AD20" s="60"/>
    </row>
    <row r="21" ht="14.25" customHeight="1">
      <c r="A21" s="47">
        <v>45889.0</v>
      </c>
      <c r="B21" s="53">
        <v>204.1</v>
      </c>
      <c r="C21" s="53">
        <v>7.0</v>
      </c>
      <c r="D21" s="44"/>
      <c r="E21" s="44"/>
      <c r="F21" s="53">
        <v>13.5</v>
      </c>
      <c r="G21" s="44"/>
      <c r="H21" s="44"/>
      <c r="I21" s="44">
        <f>2.1+3.5</f>
        <v>5.6</v>
      </c>
      <c r="J21" s="44"/>
      <c r="K21" s="44"/>
      <c r="L21" s="44"/>
      <c r="M21" s="44"/>
      <c r="N21" s="53"/>
      <c r="O21" s="53">
        <v>1.0</v>
      </c>
      <c r="P21" s="53">
        <v>50.0</v>
      </c>
      <c r="Q21" s="44"/>
      <c r="R21" s="44"/>
      <c r="S21" s="44"/>
      <c r="T21" s="44"/>
      <c r="U21" s="53">
        <v>20.0</v>
      </c>
      <c r="V21" s="53">
        <v>21.0</v>
      </c>
      <c r="W21" s="54" t="s">
        <v>110</v>
      </c>
      <c r="X21" s="44">
        <f t="shared" si="1"/>
        <v>97.1</v>
      </c>
      <c r="Y21" s="44"/>
      <c r="Z21" s="44"/>
      <c r="AA21" s="44">
        <f t="shared" si="2"/>
        <v>107</v>
      </c>
      <c r="AB21" s="44"/>
      <c r="AC21" s="44">
        <f t="shared" si="3"/>
        <v>3552.29</v>
      </c>
      <c r="AD21" s="60"/>
    </row>
    <row r="22" ht="14.25" customHeight="1">
      <c r="A22" s="47">
        <v>45890.0</v>
      </c>
      <c r="B22" s="53">
        <v>248.8</v>
      </c>
      <c r="C22" s="53">
        <v>7.0</v>
      </c>
      <c r="D22" s="53">
        <v>68.0</v>
      </c>
      <c r="E22" s="44"/>
      <c r="F22" s="53">
        <v>13.4</v>
      </c>
      <c r="G22" s="44"/>
      <c r="H22" s="44"/>
      <c r="I22" s="53">
        <v>3.2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53">
        <v>1.0</v>
      </c>
      <c r="V22" s="53">
        <v>18.0</v>
      </c>
      <c r="W22" s="46"/>
      <c r="X22" s="44">
        <f t="shared" si="1"/>
        <v>92.6</v>
      </c>
      <c r="Y22" s="44"/>
      <c r="Z22" s="44"/>
      <c r="AA22" s="44">
        <f t="shared" si="2"/>
        <v>156.2</v>
      </c>
      <c r="AB22" s="44"/>
      <c r="AC22" s="44">
        <f t="shared" si="3"/>
        <v>3708.49</v>
      </c>
      <c r="AD22" s="62">
        <v>1580.0</v>
      </c>
    </row>
    <row r="23" ht="14.25" customHeight="1">
      <c r="A23" s="47">
        <v>45891.0</v>
      </c>
      <c r="B23" s="53">
        <v>200.8</v>
      </c>
      <c r="C23" s="53">
        <v>7.0</v>
      </c>
      <c r="D23" s="53">
        <v>65.0</v>
      </c>
      <c r="E23" s="44"/>
      <c r="F23" s="53">
        <v>9.8</v>
      </c>
      <c r="G23" s="44">
        <f>12+2</f>
        <v>14</v>
      </c>
      <c r="H23" s="44"/>
      <c r="I23" s="53">
        <v>0.98</v>
      </c>
      <c r="J23" s="44"/>
      <c r="K23" s="44"/>
      <c r="L23" s="44"/>
      <c r="M23" s="44"/>
      <c r="N23" s="44"/>
      <c r="O23" s="53">
        <v>1.0</v>
      </c>
      <c r="P23" s="44"/>
      <c r="Q23" s="44"/>
      <c r="R23" s="44"/>
      <c r="S23" s="44"/>
      <c r="T23" s="44"/>
      <c r="U23" s="44"/>
      <c r="V23" s="53">
        <v>24.0</v>
      </c>
      <c r="W23" s="46"/>
      <c r="X23" s="44">
        <f t="shared" si="1"/>
        <v>97.78</v>
      </c>
      <c r="Y23" s="44"/>
      <c r="Z23" s="44"/>
      <c r="AA23" s="44">
        <f t="shared" si="2"/>
        <v>103.02</v>
      </c>
      <c r="AB23" s="44"/>
      <c r="AC23" s="44">
        <f t="shared" si="3"/>
        <v>3811.51</v>
      </c>
      <c r="AD23" s="60"/>
    </row>
    <row r="24" ht="14.25" customHeight="1">
      <c r="A24" s="47">
        <v>45892.0</v>
      </c>
      <c r="B24" s="53">
        <v>256.0</v>
      </c>
      <c r="C24" s="53">
        <v>7.0</v>
      </c>
      <c r="D24" s="53">
        <v>55.0</v>
      </c>
      <c r="E24" s="44"/>
      <c r="F24" s="53">
        <v>14.5</v>
      </c>
      <c r="G24" s="53"/>
      <c r="H24" s="44"/>
      <c r="I24" s="44"/>
      <c r="J24" s="44">
        <f>120+190</f>
        <v>310</v>
      </c>
      <c r="K24" s="53">
        <v>14.0</v>
      </c>
      <c r="L24" s="44"/>
      <c r="M24" s="44"/>
      <c r="N24" s="44"/>
      <c r="O24" s="53"/>
      <c r="P24" s="44"/>
      <c r="Q24" s="44"/>
      <c r="R24" s="44"/>
      <c r="S24" s="44"/>
      <c r="T24" s="44"/>
      <c r="U24" s="44"/>
      <c r="V24" s="53">
        <v>19.0</v>
      </c>
      <c r="W24" s="54" t="s">
        <v>111</v>
      </c>
      <c r="X24" s="44">
        <f t="shared" si="1"/>
        <v>400.5</v>
      </c>
      <c r="Y24" s="44"/>
      <c r="Z24" s="44"/>
      <c r="AA24" s="44">
        <f t="shared" si="2"/>
        <v>-144.5</v>
      </c>
      <c r="AB24" s="44"/>
      <c r="AC24" s="44">
        <f t="shared" si="3"/>
        <v>3667.01</v>
      </c>
      <c r="AD24" s="60"/>
    </row>
    <row r="25" ht="14.25" customHeight="1">
      <c r="A25" s="48">
        <v>45893.0</v>
      </c>
      <c r="B25" s="51">
        <v>217.6</v>
      </c>
      <c r="C25" s="51">
        <v>7.0</v>
      </c>
      <c r="D25" s="51">
        <v>55.0</v>
      </c>
      <c r="E25" s="50"/>
      <c r="F25" s="51">
        <v>15.0</v>
      </c>
      <c r="G25" s="50"/>
      <c r="H25" s="50"/>
      <c r="I25" s="50"/>
      <c r="J25" s="50"/>
      <c r="K25" s="51">
        <v>6.0</v>
      </c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1">
        <v>14.0</v>
      </c>
      <c r="W25" s="52"/>
      <c r="X25" s="50">
        <f t="shared" si="1"/>
        <v>83</v>
      </c>
      <c r="Y25" s="50">
        <f>sum(B19:B25)</f>
        <v>1733.35</v>
      </c>
      <c r="Z25" s="50">
        <f>sum(X19:X25)</f>
        <v>1029.03</v>
      </c>
      <c r="AA25" s="50">
        <f t="shared" si="2"/>
        <v>134.6</v>
      </c>
      <c r="AB25" s="50">
        <f>Y25-Z25</f>
        <v>704.32</v>
      </c>
      <c r="AC25" s="50">
        <f t="shared" si="3"/>
        <v>3801.61</v>
      </c>
      <c r="AD25" s="61"/>
    </row>
    <row r="26" ht="14.25" customHeight="1">
      <c r="A26" s="47">
        <v>45894.0</v>
      </c>
      <c r="B26" s="53">
        <v>553.46</v>
      </c>
      <c r="C26" s="53">
        <v>7.0</v>
      </c>
      <c r="D26" s="53">
        <v>55.0</v>
      </c>
      <c r="E26" s="53">
        <v>65.0</v>
      </c>
      <c r="F26" s="53">
        <v>11.8</v>
      </c>
      <c r="G26" s="44"/>
      <c r="H26" s="44"/>
      <c r="I26" s="44">
        <f>2.1+1</f>
        <v>3.1</v>
      </c>
      <c r="J26" s="44"/>
      <c r="K26" s="44"/>
      <c r="L26" s="53"/>
      <c r="M26" s="44"/>
      <c r="N26" s="44"/>
      <c r="O26" s="53">
        <v>1.0</v>
      </c>
      <c r="P26" s="44"/>
      <c r="Q26" s="44"/>
      <c r="R26" s="44"/>
      <c r="S26" s="44"/>
      <c r="T26" s="44"/>
      <c r="U26" s="44"/>
      <c r="V26" s="53">
        <v>34.0</v>
      </c>
      <c r="W26" s="54"/>
      <c r="X26" s="44">
        <f t="shared" si="1"/>
        <v>142.9</v>
      </c>
      <c r="Y26" s="44"/>
      <c r="Z26" s="44"/>
      <c r="AA26" s="44">
        <f t="shared" si="2"/>
        <v>410.56</v>
      </c>
      <c r="AB26" s="44"/>
      <c r="AC26" s="44">
        <f t="shared" si="3"/>
        <v>4212.17</v>
      </c>
      <c r="AD26" s="60"/>
    </row>
    <row r="27" ht="14.25" customHeight="1">
      <c r="A27" s="47">
        <v>45895.0</v>
      </c>
      <c r="B27" s="53">
        <v>230.2</v>
      </c>
      <c r="C27" s="53">
        <v>7.0</v>
      </c>
      <c r="D27" s="53">
        <v>60.0</v>
      </c>
      <c r="E27" s="44"/>
      <c r="F27" s="53">
        <v>13.5</v>
      </c>
      <c r="G27" s="53">
        <v>11.0</v>
      </c>
      <c r="H27" s="44"/>
      <c r="I27" s="53">
        <v>2.1</v>
      </c>
      <c r="J27" s="44"/>
      <c r="K27" s="53">
        <v>6.8</v>
      </c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53">
        <v>22.0</v>
      </c>
      <c r="W27" s="46"/>
      <c r="X27" s="44">
        <f t="shared" si="1"/>
        <v>100.4</v>
      </c>
      <c r="Y27" s="44"/>
      <c r="Z27" s="44"/>
      <c r="AA27" s="44">
        <f t="shared" si="2"/>
        <v>129.8</v>
      </c>
      <c r="AB27" s="44"/>
      <c r="AC27" s="44">
        <f t="shared" si="3"/>
        <v>4341.97</v>
      </c>
      <c r="AD27" s="60"/>
    </row>
    <row r="28" ht="14.25" customHeight="1">
      <c r="A28" s="47">
        <v>45896.0</v>
      </c>
      <c r="B28" s="53">
        <v>376.8</v>
      </c>
      <c r="C28" s="53">
        <v>7.0</v>
      </c>
      <c r="D28" s="53">
        <v>60.0</v>
      </c>
      <c r="E28" s="44"/>
      <c r="F28" s="53">
        <v>10.3</v>
      </c>
      <c r="G28" s="44"/>
      <c r="H28" s="44"/>
      <c r="I28" s="44">
        <f>3.2+3.5+3.85+3.2+2.1</f>
        <v>15.85</v>
      </c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53">
        <v>26.0</v>
      </c>
      <c r="W28" s="46"/>
      <c r="X28" s="44">
        <f t="shared" si="1"/>
        <v>93.15</v>
      </c>
      <c r="Y28" s="44"/>
      <c r="Z28" s="44"/>
      <c r="AA28" s="44">
        <f t="shared" si="2"/>
        <v>283.65</v>
      </c>
      <c r="AB28" s="44"/>
      <c r="AC28" s="44">
        <f t="shared" si="3"/>
        <v>4625.62</v>
      </c>
      <c r="AD28" s="60"/>
    </row>
    <row r="29" ht="14.25" customHeight="1">
      <c r="A29" s="47">
        <v>45897.0</v>
      </c>
      <c r="B29" s="53">
        <v>320.7</v>
      </c>
      <c r="C29" s="53">
        <v>7.0</v>
      </c>
      <c r="D29" s="53">
        <v>60.0</v>
      </c>
      <c r="E29" s="44"/>
      <c r="F29" s="44">
        <f>12.1+9</f>
        <v>21.1</v>
      </c>
      <c r="G29" s="53">
        <v>11.5</v>
      </c>
      <c r="H29" s="44"/>
      <c r="I29" s="53">
        <v>2.1</v>
      </c>
      <c r="J29" s="44"/>
      <c r="K29" s="44"/>
      <c r="L29" s="44"/>
      <c r="M29" s="44"/>
      <c r="N29" s="44"/>
      <c r="O29" s="44"/>
      <c r="P29" s="44"/>
      <c r="Q29" s="53">
        <v>12.0</v>
      </c>
      <c r="R29" s="44"/>
      <c r="S29" s="44"/>
      <c r="T29" s="44"/>
      <c r="U29" s="44"/>
      <c r="V29" s="53">
        <v>25.0</v>
      </c>
      <c r="W29" s="46"/>
      <c r="X29" s="44">
        <f t="shared" si="1"/>
        <v>113.7</v>
      </c>
      <c r="Y29" s="44"/>
      <c r="Z29" s="44"/>
      <c r="AA29" s="44">
        <f t="shared" si="2"/>
        <v>207</v>
      </c>
      <c r="AB29" s="44"/>
      <c r="AC29" s="44">
        <f t="shared" si="3"/>
        <v>4832.62</v>
      </c>
      <c r="AD29" s="60"/>
    </row>
    <row r="30" ht="14.25" customHeight="1">
      <c r="A30" s="47">
        <v>45898.0</v>
      </c>
      <c r="B30" s="53">
        <v>222.5</v>
      </c>
      <c r="C30" s="53">
        <v>7.0</v>
      </c>
      <c r="D30" s="53">
        <v>55.0</v>
      </c>
      <c r="E30" s="44"/>
      <c r="F30" s="53">
        <v>7.5</v>
      </c>
      <c r="G30" s="53">
        <v>18.0</v>
      </c>
      <c r="H30" s="44"/>
      <c r="I30" s="53">
        <v>2.1</v>
      </c>
      <c r="J30" s="44"/>
      <c r="K30" s="53">
        <v>7.5</v>
      </c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53">
        <v>15.0</v>
      </c>
      <c r="W30" s="46"/>
      <c r="X30" s="44">
        <f t="shared" si="1"/>
        <v>97.1</v>
      </c>
      <c r="Y30" s="44"/>
      <c r="Z30" s="44"/>
      <c r="AA30" s="44">
        <f t="shared" si="2"/>
        <v>125.4</v>
      </c>
      <c r="AB30" s="44"/>
      <c r="AC30" s="44">
        <f t="shared" si="3"/>
        <v>4958.02</v>
      </c>
      <c r="AD30" s="60"/>
    </row>
    <row r="31" ht="14.25" customHeight="1">
      <c r="A31" s="47">
        <v>45899.0</v>
      </c>
      <c r="B31" s="53">
        <v>352.9</v>
      </c>
      <c r="C31" s="53">
        <v>7.0</v>
      </c>
      <c r="D31" s="53">
        <v>55.0</v>
      </c>
      <c r="E31" s="44"/>
      <c r="F31" s="44">
        <f>14+7.7</f>
        <v>21.7</v>
      </c>
      <c r="G31" s="53">
        <v>8.0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53">
        <v>25.0</v>
      </c>
      <c r="W31" s="46"/>
      <c r="X31" s="44">
        <f t="shared" si="1"/>
        <v>91.7</v>
      </c>
      <c r="Y31" s="44"/>
      <c r="Z31" s="44"/>
      <c r="AA31" s="44">
        <f t="shared" si="2"/>
        <v>261.2</v>
      </c>
      <c r="AB31" s="44"/>
      <c r="AC31" s="44">
        <f t="shared" si="3"/>
        <v>5219.22</v>
      </c>
      <c r="AD31" s="60"/>
    </row>
    <row r="32" ht="14.25" customHeight="1">
      <c r="A32" s="48">
        <v>45900.0</v>
      </c>
      <c r="B32" s="51">
        <v>468.5</v>
      </c>
      <c r="C32" s="51">
        <v>7.0</v>
      </c>
      <c r="D32" s="51">
        <v>55.0</v>
      </c>
      <c r="E32" s="51">
        <v>50.0</v>
      </c>
      <c r="F32" s="51"/>
      <c r="G32" s="50"/>
      <c r="H32" s="50"/>
      <c r="I32" s="50">
        <f>3.51+3.85+6.07</f>
        <v>13.43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1">
        <v>557.06</v>
      </c>
      <c r="V32" s="51">
        <v>30.0</v>
      </c>
      <c r="W32" s="55" t="s">
        <v>112</v>
      </c>
      <c r="X32" s="50">
        <f t="shared" si="1"/>
        <v>682.49</v>
      </c>
      <c r="Y32" s="50">
        <f>sum(B26:B32)</f>
        <v>2525.06</v>
      </c>
      <c r="Z32" s="50">
        <f>sum(X26:X32)</f>
        <v>1321.44</v>
      </c>
      <c r="AA32" s="50">
        <f t="shared" si="2"/>
        <v>-213.99</v>
      </c>
      <c r="AB32" s="50">
        <f>Y32-Z32</f>
        <v>1203.62</v>
      </c>
      <c r="AC32" s="50">
        <f t="shared" si="3"/>
        <v>5005.23</v>
      </c>
      <c r="AD32" s="61"/>
    </row>
    <row r="33" ht="14.2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6"/>
      <c r="X33" s="44"/>
      <c r="Y33" s="44"/>
      <c r="Z33" s="44"/>
      <c r="AA33" s="44"/>
      <c r="AB33" s="44"/>
      <c r="AC33" s="44"/>
      <c r="AD33" s="60"/>
    </row>
    <row r="34" ht="14.25" customHeight="1">
      <c r="A34" s="44" t="str">
        <f>count(B2:B32,"number")&amp;" "&amp;"/"&amp;" "&amp;countif(B2:B32,"")</f>
        <v>31 / 0</v>
      </c>
      <c r="B34" s="44">
        <f t="shared" ref="B34:U34" si="4">SUM(B2:B33)</f>
        <v>9901.51</v>
      </c>
      <c r="C34" s="44">
        <f t="shared" si="4"/>
        <v>217</v>
      </c>
      <c r="D34" s="44">
        <f t="shared" si="4"/>
        <v>1616</v>
      </c>
      <c r="E34" s="44">
        <f t="shared" si="4"/>
        <v>343</v>
      </c>
      <c r="F34" s="44">
        <f t="shared" si="4"/>
        <v>452.05</v>
      </c>
      <c r="G34" s="44">
        <f t="shared" si="4"/>
        <v>206.3</v>
      </c>
      <c r="H34" s="44">
        <f t="shared" si="4"/>
        <v>220</v>
      </c>
      <c r="I34" s="44">
        <f t="shared" si="4"/>
        <v>99.48</v>
      </c>
      <c r="J34" s="44">
        <f t="shared" si="4"/>
        <v>310</v>
      </c>
      <c r="K34" s="44">
        <f t="shared" si="4"/>
        <v>100.65</v>
      </c>
      <c r="L34" s="44">
        <f t="shared" si="4"/>
        <v>0</v>
      </c>
      <c r="M34" s="44">
        <f t="shared" si="4"/>
        <v>0</v>
      </c>
      <c r="N34" s="44">
        <f t="shared" si="4"/>
        <v>15.9</v>
      </c>
      <c r="O34" s="44">
        <f t="shared" si="4"/>
        <v>16</v>
      </c>
      <c r="P34" s="44">
        <f t="shared" si="4"/>
        <v>50</v>
      </c>
      <c r="Q34" s="44">
        <f t="shared" si="4"/>
        <v>12</v>
      </c>
      <c r="R34" s="44">
        <f t="shared" si="4"/>
        <v>350</v>
      </c>
      <c r="S34" s="44">
        <f t="shared" si="4"/>
        <v>12.24</v>
      </c>
      <c r="T34" s="44">
        <f t="shared" si="4"/>
        <v>200</v>
      </c>
      <c r="U34" s="44">
        <f t="shared" si="4"/>
        <v>675.66</v>
      </c>
      <c r="V34" s="44"/>
      <c r="W34" s="46"/>
      <c r="X34" s="44">
        <f>SUM(X2:X33)</f>
        <v>4896.28</v>
      </c>
      <c r="Y34" s="44"/>
      <c r="Z34" s="44"/>
      <c r="AA34" s="44"/>
      <c r="AB34" s="44"/>
      <c r="AC34" s="44"/>
      <c r="AD34" s="60"/>
    </row>
    <row r="35" ht="14.25" customHeight="1">
      <c r="A35" s="57" t="s">
        <v>62</v>
      </c>
      <c r="B35" s="65">
        <f>B34-(C34+D34+E34+F34+G34+H34+I34+J34+K34+L34+M34+N34+O34+P34+Q34+R34+S34+T34+U34)</f>
        <v>5005.23</v>
      </c>
      <c r="C35" s="44"/>
      <c r="D35" s="44">
        <f>D34+E34</f>
        <v>1959</v>
      </c>
      <c r="F35" s="44">
        <f>G34+F34</f>
        <v>658.35</v>
      </c>
      <c r="H35" s="44"/>
      <c r="I35" s="44"/>
      <c r="J35" s="66" t="s">
        <v>80</v>
      </c>
      <c r="K35" s="67" t="s">
        <v>81</v>
      </c>
      <c r="L35" s="68" t="s">
        <v>82</v>
      </c>
      <c r="M35" s="69" t="s">
        <v>83</v>
      </c>
      <c r="N35" s="70" t="s">
        <v>84</v>
      </c>
      <c r="O35" s="71" t="s">
        <v>85</v>
      </c>
      <c r="P35" s="44"/>
      <c r="Q35" s="44"/>
      <c r="R35" s="44"/>
      <c r="S35" s="44"/>
      <c r="T35" s="44"/>
      <c r="U35" s="44"/>
      <c r="V35" s="44"/>
      <c r="W35" s="46" t="s">
        <v>63</v>
      </c>
      <c r="X35" s="46"/>
      <c r="Y35" s="46"/>
      <c r="Z35" s="46"/>
      <c r="AA35" s="83" t="str">
        <f>(5000-(B35))/countif(B2:B32,"")</f>
        <v>#DIV/0!</v>
      </c>
      <c r="AB35" s="59">
        <f>B35/B34</f>
        <v>0.5055016861</v>
      </c>
      <c r="AC35" s="59"/>
      <c r="AD35" s="60"/>
    </row>
  </sheetData>
  <mergeCells count="4">
    <mergeCell ref="D1:E1"/>
    <mergeCell ref="F1:G1"/>
    <mergeCell ref="D35:E35"/>
    <mergeCell ref="F35:G35"/>
  </mergeCells>
  <conditionalFormatting sqref="AC2:AC32">
    <cfRule type="cellIs" dxfId="2" priority="1" operator="lessThan">
      <formula>1000</formula>
    </cfRule>
  </conditionalFormatting>
  <conditionalFormatting sqref="AC2:AC32">
    <cfRule type="cellIs" dxfId="3" priority="2" operator="lessThan">
      <formula>2000</formula>
    </cfRule>
  </conditionalFormatting>
  <conditionalFormatting sqref="AC2:AC32">
    <cfRule type="cellIs" dxfId="4" priority="3" operator="lessThan">
      <formula>3000</formula>
    </cfRule>
  </conditionalFormatting>
  <conditionalFormatting sqref="AC2:AC32">
    <cfRule type="cellIs" dxfId="5" priority="4" operator="lessThan">
      <formula>4000</formula>
    </cfRule>
  </conditionalFormatting>
  <conditionalFormatting sqref="AC2:AC32">
    <cfRule type="cellIs" dxfId="6" priority="5" operator="lessThan">
      <formula>5000</formula>
    </cfRule>
  </conditionalFormatting>
  <conditionalFormatting sqref="AC2:AC32">
    <cfRule type="cellIs" dxfId="7" priority="6" operator="lessThan">
      <formula>6000</formula>
    </cfRule>
  </conditionalFormatting>
  <conditionalFormatting sqref="AC2:AC32">
    <cfRule type="cellIs" dxfId="8" priority="7" operator="greaterThan">
      <formula>6000</formula>
    </cfRule>
  </conditionalFormatting>
  <conditionalFormatting sqref="B2:B32">
    <cfRule type="cellIs" dxfId="9" priority="8" operator="between">
      <formula>0</formula>
      <formula>99.99</formula>
    </cfRule>
  </conditionalFormatting>
  <conditionalFormatting sqref="B2:B32">
    <cfRule type="cellIs" dxfId="3" priority="9" operator="between">
      <formula>100</formula>
      <formula>199.99</formula>
    </cfRule>
  </conditionalFormatting>
  <conditionalFormatting sqref="B2:B32">
    <cfRule type="cellIs" dxfId="10" priority="10" operator="between">
      <formula>200</formula>
      <formula>299.99</formula>
    </cfRule>
  </conditionalFormatting>
  <conditionalFormatting sqref="B2:B32">
    <cfRule type="cellIs" dxfId="5" priority="11" operator="between">
      <formula>300</formula>
      <formula>399.99</formula>
    </cfRule>
  </conditionalFormatting>
  <conditionalFormatting sqref="B2:B32">
    <cfRule type="cellIs" dxfId="6" priority="12" operator="between">
      <formula>400</formula>
      <formula>499.99</formula>
    </cfRule>
  </conditionalFormatting>
  <conditionalFormatting sqref="B2:B32">
    <cfRule type="cellIs" dxfId="7" priority="13" operator="greaterThan">
      <formula>500</formula>
    </cfRule>
  </conditionalFormatting>
  <conditionalFormatting sqref="AA2:AA32">
    <cfRule type="cellIs" dxfId="0" priority="14" operator="greaterThan">
      <formula>0</formula>
    </cfRule>
  </conditionalFormatting>
  <conditionalFormatting sqref="AA2:AA32">
    <cfRule type="cellIs" dxfId="11" priority="15" operator="less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88"/>
    <col customWidth="1" min="2" max="2" width="10.75"/>
    <col customWidth="1" min="3" max="3" width="8.63"/>
    <col customWidth="1" min="4" max="5" width="8.25"/>
    <col customWidth="1" min="6" max="7" width="8.0"/>
    <col customWidth="1" min="8" max="9" width="7.63"/>
    <col customWidth="1" min="10" max="14" width="9.75"/>
    <col customWidth="1" min="15" max="21" width="7.63"/>
    <col customWidth="1" min="22" max="23" width="14.38"/>
    <col customWidth="1" min="24" max="24" width="9.38"/>
    <col customWidth="1" min="25" max="25" width="11.5"/>
    <col customWidth="1" min="26" max="30" width="9.38"/>
  </cols>
  <sheetData>
    <row r="1" ht="14.25" customHeight="1">
      <c r="A1" s="44" t="s">
        <v>53</v>
      </c>
      <c r="B1" s="44" t="s">
        <v>1</v>
      </c>
      <c r="C1" s="44" t="s">
        <v>16</v>
      </c>
      <c r="D1" s="44" t="s">
        <v>17</v>
      </c>
      <c r="F1" s="44" t="s">
        <v>18</v>
      </c>
      <c r="H1" s="44" t="s">
        <v>19</v>
      </c>
      <c r="I1" s="44" t="s">
        <v>20</v>
      </c>
      <c r="J1" s="44" t="s">
        <v>21</v>
      </c>
      <c r="K1" s="44" t="s">
        <v>22</v>
      </c>
      <c r="L1" s="44" t="s">
        <v>23</v>
      </c>
      <c r="M1" s="44" t="s">
        <v>24</v>
      </c>
      <c r="N1" s="44" t="s">
        <v>25</v>
      </c>
      <c r="O1" s="44" t="s">
        <v>26</v>
      </c>
      <c r="P1" s="44" t="s">
        <v>27</v>
      </c>
      <c r="Q1" s="44" t="s">
        <v>28</v>
      </c>
      <c r="R1" s="44" t="s">
        <v>29</v>
      </c>
      <c r="S1" s="44" t="s">
        <v>32</v>
      </c>
      <c r="T1" s="44" t="s">
        <v>34</v>
      </c>
      <c r="U1" s="44" t="s">
        <v>36</v>
      </c>
      <c r="V1" s="53" t="s">
        <v>40</v>
      </c>
      <c r="W1" s="46" t="s">
        <v>54</v>
      </c>
      <c r="X1" s="44" t="s">
        <v>2</v>
      </c>
      <c r="Y1" s="44" t="s">
        <v>55</v>
      </c>
      <c r="Z1" s="44" t="s">
        <v>56</v>
      </c>
      <c r="AA1" s="44" t="s">
        <v>57</v>
      </c>
      <c r="AB1" s="44" t="s">
        <v>58</v>
      </c>
      <c r="AC1" s="53" t="s">
        <v>78</v>
      </c>
      <c r="AD1" s="62" t="s">
        <v>46</v>
      </c>
    </row>
    <row r="2" ht="14.25" customHeight="1">
      <c r="A2" s="47">
        <v>45901.0</v>
      </c>
      <c r="B2" s="53">
        <v>400.6</v>
      </c>
      <c r="C2" s="53">
        <v>7.0</v>
      </c>
      <c r="D2" s="53"/>
      <c r="E2" s="44"/>
      <c r="F2" s="44">
        <f>7.5+6</f>
        <v>13.5</v>
      </c>
      <c r="G2" s="44"/>
      <c r="H2" s="44"/>
      <c r="I2" s="44"/>
      <c r="J2" s="44"/>
      <c r="K2" s="53">
        <v>11.8</v>
      </c>
      <c r="L2" s="44"/>
      <c r="M2" s="44"/>
      <c r="N2" s="44"/>
      <c r="O2" s="44"/>
      <c r="P2" s="44"/>
      <c r="Q2" s="44"/>
      <c r="R2" s="53">
        <v>350.0</v>
      </c>
      <c r="S2" s="44"/>
      <c r="T2" s="53">
        <v>200.0</v>
      </c>
      <c r="U2" s="53">
        <v>100.0</v>
      </c>
      <c r="V2" s="53">
        <v>28.0</v>
      </c>
      <c r="W2" s="54" t="s">
        <v>113</v>
      </c>
      <c r="X2" s="44">
        <f t="shared" ref="X2:X31" si="1">sum(C2:U2)</f>
        <v>682.3</v>
      </c>
      <c r="Y2" s="44"/>
      <c r="Z2" s="44"/>
      <c r="AA2" s="44">
        <f t="shared" ref="AA2:AA31" si="2">B2-X2</f>
        <v>-281.7</v>
      </c>
      <c r="AB2" s="44"/>
      <c r="AC2" s="44">
        <f>AA2</f>
        <v>-281.7</v>
      </c>
      <c r="AD2" s="60"/>
    </row>
    <row r="3" ht="14.25" customHeight="1">
      <c r="A3" s="47">
        <v>45902.0</v>
      </c>
      <c r="B3" s="53">
        <v>605.63</v>
      </c>
      <c r="C3" s="53">
        <v>7.0</v>
      </c>
      <c r="D3" s="53">
        <v>65.0</v>
      </c>
      <c r="E3" s="44"/>
      <c r="F3" s="53">
        <f>7</f>
        <v>7</v>
      </c>
      <c r="G3" s="53">
        <v>5.1</v>
      </c>
      <c r="H3" s="44"/>
      <c r="I3" s="53">
        <f>1.56+2+3.85</f>
        <v>7.41</v>
      </c>
      <c r="J3" s="44"/>
      <c r="K3" s="53"/>
      <c r="L3" s="44"/>
      <c r="M3" s="44"/>
      <c r="N3" s="44"/>
      <c r="O3" s="44"/>
      <c r="P3" s="44"/>
      <c r="Q3" s="44"/>
      <c r="R3" s="44"/>
      <c r="S3" s="53">
        <v>11.51</v>
      </c>
      <c r="T3" s="44"/>
      <c r="U3" s="44"/>
      <c r="V3" s="53">
        <v>15.0</v>
      </c>
      <c r="W3" s="46"/>
      <c r="X3" s="44">
        <f t="shared" si="1"/>
        <v>103.02</v>
      </c>
      <c r="Y3" s="44"/>
      <c r="Z3" s="44"/>
      <c r="AA3" s="44">
        <f t="shared" si="2"/>
        <v>502.61</v>
      </c>
      <c r="AB3" s="44"/>
      <c r="AC3" s="44">
        <f t="shared" ref="AC3:AC31" si="3">AC2+AA3</f>
        <v>220.91</v>
      </c>
      <c r="AD3" s="60"/>
    </row>
    <row r="4" ht="14.25" customHeight="1">
      <c r="A4" s="47">
        <v>45903.0</v>
      </c>
      <c r="B4" s="53">
        <v>211.3</v>
      </c>
      <c r="C4" s="53">
        <v>7.0</v>
      </c>
      <c r="D4" s="53">
        <v>60.0</v>
      </c>
      <c r="E4" s="44"/>
      <c r="F4" s="44">
        <f>11.9+1.5</f>
        <v>13.4</v>
      </c>
      <c r="G4" s="44">
        <f>9+3+8</f>
        <v>20</v>
      </c>
      <c r="H4" s="44"/>
      <c r="I4" s="44">
        <f>3.2+3.5</f>
        <v>6.7</v>
      </c>
      <c r="J4" s="44"/>
      <c r="K4" s="44"/>
      <c r="L4" s="44"/>
      <c r="M4" s="44"/>
      <c r="N4" s="44"/>
      <c r="O4" s="53">
        <v>10.0</v>
      </c>
      <c r="P4" s="44"/>
      <c r="Q4" s="44"/>
      <c r="R4" s="44"/>
      <c r="S4" s="44"/>
      <c r="T4" s="44"/>
      <c r="U4" s="44"/>
      <c r="V4" s="53">
        <v>20.0</v>
      </c>
      <c r="W4" s="46"/>
      <c r="X4" s="44">
        <f t="shared" si="1"/>
        <v>117.1</v>
      </c>
      <c r="Y4" s="44"/>
      <c r="Z4" s="44"/>
      <c r="AA4" s="44">
        <f t="shared" si="2"/>
        <v>94.2</v>
      </c>
      <c r="AB4" s="44"/>
      <c r="AC4" s="44">
        <f t="shared" si="3"/>
        <v>315.11</v>
      </c>
      <c r="AD4" s="60"/>
    </row>
    <row r="5" ht="14.25" customHeight="1">
      <c r="A5" s="47">
        <v>45904.0</v>
      </c>
      <c r="B5" s="53">
        <v>262.4</v>
      </c>
      <c r="C5" s="53">
        <v>7.0</v>
      </c>
      <c r="D5" s="53">
        <v>65.0</v>
      </c>
      <c r="E5" s="44"/>
      <c r="F5" s="53">
        <f>7+24</f>
        <v>31</v>
      </c>
      <c r="G5" s="53">
        <v>93.5</v>
      </c>
      <c r="H5" s="44"/>
      <c r="I5" s="44"/>
      <c r="J5" s="44"/>
      <c r="K5" s="53">
        <f>8.2+29.5</f>
        <v>37.7</v>
      </c>
      <c r="L5" s="44"/>
      <c r="M5" s="44"/>
      <c r="N5" s="44"/>
      <c r="O5" s="44"/>
      <c r="P5" s="44"/>
      <c r="Q5" s="44"/>
      <c r="R5" s="53"/>
      <c r="S5" s="44"/>
      <c r="T5" s="44"/>
      <c r="U5" s="41"/>
      <c r="V5" s="53">
        <v>20.0</v>
      </c>
      <c r="W5" s="46"/>
      <c r="X5" s="44">
        <f t="shared" si="1"/>
        <v>234.2</v>
      </c>
      <c r="Y5" s="44"/>
      <c r="Z5" s="44"/>
      <c r="AA5" s="44">
        <f t="shared" si="2"/>
        <v>28.2</v>
      </c>
      <c r="AB5" s="44"/>
      <c r="AC5" s="44">
        <f t="shared" si="3"/>
        <v>343.31</v>
      </c>
      <c r="AD5" s="60"/>
    </row>
    <row r="6" ht="14.25" customHeight="1">
      <c r="A6" s="47">
        <v>45905.0</v>
      </c>
      <c r="B6" s="53">
        <v>226.4</v>
      </c>
      <c r="C6" s="53">
        <v>7.0</v>
      </c>
      <c r="D6" s="53">
        <v>55.0</v>
      </c>
      <c r="E6" s="44"/>
      <c r="F6" s="44">
        <f>4+10+2.6</f>
        <v>16.6</v>
      </c>
      <c r="G6" s="44"/>
      <c r="H6" s="44"/>
      <c r="I6" s="53">
        <v>5.5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3">
        <v>26.0</v>
      </c>
      <c r="W6" s="46"/>
      <c r="X6" s="44">
        <f t="shared" si="1"/>
        <v>84.1</v>
      </c>
      <c r="Y6" s="44"/>
      <c r="Z6" s="44"/>
      <c r="AA6" s="44">
        <f t="shared" si="2"/>
        <v>142.3</v>
      </c>
      <c r="AB6" s="44"/>
      <c r="AC6" s="44">
        <f t="shared" si="3"/>
        <v>485.61</v>
      </c>
      <c r="AD6" s="60"/>
    </row>
    <row r="7" ht="14.25" customHeight="1">
      <c r="A7" s="47">
        <v>45906.0</v>
      </c>
      <c r="B7" s="53">
        <v>348.0</v>
      </c>
      <c r="C7" s="53">
        <v>7.0</v>
      </c>
      <c r="D7" s="53">
        <v>55.0</v>
      </c>
      <c r="E7" s="44"/>
      <c r="F7" s="53">
        <v>14.7</v>
      </c>
      <c r="G7" s="44"/>
      <c r="H7" s="44"/>
      <c r="I7" s="53">
        <v>3.2</v>
      </c>
      <c r="J7" s="44"/>
      <c r="K7" s="53">
        <v>6.2</v>
      </c>
      <c r="L7" s="44"/>
      <c r="M7" s="44"/>
      <c r="N7" s="44"/>
      <c r="O7" s="44"/>
      <c r="P7" s="44"/>
      <c r="Q7" s="44"/>
      <c r="R7" s="44"/>
      <c r="S7" s="44"/>
      <c r="T7" s="44"/>
      <c r="U7" s="44"/>
      <c r="V7" s="53">
        <v>27.0</v>
      </c>
      <c r="W7" s="46"/>
      <c r="X7" s="44">
        <f t="shared" si="1"/>
        <v>86.1</v>
      </c>
      <c r="Y7" s="44"/>
      <c r="Z7" s="44"/>
      <c r="AA7" s="44">
        <f t="shared" si="2"/>
        <v>261.9</v>
      </c>
      <c r="AB7" s="44"/>
      <c r="AC7" s="44">
        <f t="shared" si="3"/>
        <v>747.51</v>
      </c>
      <c r="AD7" s="60"/>
    </row>
    <row r="8" ht="14.25" customHeight="1">
      <c r="A8" s="48">
        <v>45907.0</v>
      </c>
      <c r="B8" s="51">
        <v>263.8</v>
      </c>
      <c r="C8" s="51">
        <v>7.0</v>
      </c>
      <c r="D8" s="51">
        <v>60.0</v>
      </c>
      <c r="E8" s="51">
        <v>50.0</v>
      </c>
      <c r="F8" s="51">
        <v>12.5</v>
      </c>
      <c r="G8" s="51">
        <v>14.4</v>
      </c>
      <c r="H8" s="50"/>
      <c r="I8" s="51">
        <v>4.51</v>
      </c>
      <c r="J8" s="50"/>
      <c r="K8" s="51">
        <v>8.8</v>
      </c>
      <c r="L8" s="50"/>
      <c r="M8" s="50"/>
      <c r="N8" s="51"/>
      <c r="O8" s="50"/>
      <c r="P8" s="50"/>
      <c r="Q8" s="51">
        <v>12.0</v>
      </c>
      <c r="R8" s="50"/>
      <c r="S8" s="50"/>
      <c r="T8" s="50"/>
      <c r="U8" s="50"/>
      <c r="V8" s="51">
        <v>21.0</v>
      </c>
      <c r="W8" s="55"/>
      <c r="X8" s="50">
        <f t="shared" si="1"/>
        <v>169.21</v>
      </c>
      <c r="Y8" s="50">
        <f>sum(B2:B8)</f>
        <v>2318.13</v>
      </c>
      <c r="Z8" s="50">
        <f>sum(X2:X8)</f>
        <v>1476.03</v>
      </c>
      <c r="AA8" s="50">
        <f t="shared" si="2"/>
        <v>94.59</v>
      </c>
      <c r="AB8" s="50">
        <f>Y8-Z8</f>
        <v>842.1</v>
      </c>
      <c r="AC8" s="50">
        <f t="shared" si="3"/>
        <v>842.1</v>
      </c>
      <c r="AD8" s="61"/>
    </row>
    <row r="9" ht="14.25" customHeight="1">
      <c r="A9" s="47">
        <v>45908.0</v>
      </c>
      <c r="B9" s="53">
        <v>602.88</v>
      </c>
      <c r="C9" s="53">
        <v>7.0</v>
      </c>
      <c r="D9" s="53">
        <v>65.0</v>
      </c>
      <c r="E9" s="44"/>
      <c r="F9" s="53">
        <v>14.0</v>
      </c>
      <c r="G9" s="53">
        <v>10.0</v>
      </c>
      <c r="H9" s="44"/>
      <c r="I9" s="53">
        <v>3.5</v>
      </c>
      <c r="J9" s="44"/>
      <c r="K9" s="53">
        <f>10.2+6.4</f>
        <v>16.6</v>
      </c>
      <c r="L9" s="44"/>
      <c r="M9" s="44"/>
      <c r="O9" s="44"/>
      <c r="P9" s="44"/>
      <c r="Q9" s="44"/>
      <c r="R9" s="44"/>
      <c r="S9" s="44"/>
      <c r="T9" s="44"/>
      <c r="U9" s="44"/>
      <c r="V9" s="53">
        <v>18.0</v>
      </c>
      <c r="W9" s="46"/>
      <c r="X9" s="44">
        <f t="shared" si="1"/>
        <v>116.1</v>
      </c>
      <c r="Y9" s="44"/>
      <c r="Z9" s="44"/>
      <c r="AA9" s="44">
        <f t="shared" si="2"/>
        <v>486.78</v>
      </c>
      <c r="AB9" s="44"/>
      <c r="AC9" s="44">
        <f t="shared" si="3"/>
        <v>1328.88</v>
      </c>
      <c r="AD9" s="60"/>
    </row>
    <row r="10" ht="14.25" customHeight="1">
      <c r="A10" s="47">
        <v>45909.0</v>
      </c>
      <c r="B10" s="53">
        <v>272.0</v>
      </c>
      <c r="C10" s="53">
        <v>7.0</v>
      </c>
      <c r="D10" s="53">
        <v>70.0</v>
      </c>
      <c r="E10" s="44"/>
      <c r="F10" s="53">
        <v>11.5</v>
      </c>
      <c r="G10" s="44">
        <f>11.5+9</f>
        <v>20.5</v>
      </c>
      <c r="H10" s="44"/>
      <c r="I10" s="44">
        <f>0.85+0.85+3.2</f>
        <v>4.9</v>
      </c>
      <c r="J10" s="44"/>
      <c r="K10" s="44"/>
      <c r="L10" s="53"/>
      <c r="M10" s="44"/>
      <c r="N10" s="44"/>
      <c r="O10" s="44"/>
      <c r="P10" s="44"/>
      <c r="Q10" s="44"/>
      <c r="R10" s="44"/>
      <c r="S10" s="44"/>
      <c r="T10" s="44"/>
      <c r="U10" s="44"/>
      <c r="V10" s="53">
        <v>22.0</v>
      </c>
      <c r="W10" s="54"/>
      <c r="X10" s="44">
        <f t="shared" si="1"/>
        <v>113.9</v>
      </c>
      <c r="Y10" s="44"/>
      <c r="Z10" s="44"/>
      <c r="AA10" s="44">
        <f t="shared" si="2"/>
        <v>158.1</v>
      </c>
      <c r="AB10" s="44"/>
      <c r="AC10" s="44">
        <f t="shared" si="3"/>
        <v>1486.98</v>
      </c>
      <c r="AD10" s="60"/>
    </row>
    <row r="11" ht="14.25" customHeight="1">
      <c r="A11" s="47">
        <v>45910.0</v>
      </c>
      <c r="B11" s="53">
        <v>286.4</v>
      </c>
      <c r="C11" s="53">
        <v>7.0</v>
      </c>
      <c r="D11" s="53">
        <v>55.0</v>
      </c>
      <c r="E11" s="44"/>
      <c r="F11" s="53">
        <v>7.8</v>
      </c>
      <c r="G11" s="44"/>
      <c r="H11" s="44"/>
      <c r="I11" s="44">
        <f>3.2</f>
        <v>3.2</v>
      </c>
      <c r="J11" s="44"/>
      <c r="K11" s="44">
        <f>5.5+8.1</f>
        <v>13.6</v>
      </c>
      <c r="L11" s="53"/>
      <c r="M11" s="44"/>
      <c r="N11" s="44"/>
      <c r="O11" s="44"/>
      <c r="P11" s="44"/>
      <c r="Q11" s="44"/>
      <c r="R11" s="44"/>
      <c r="S11" s="44"/>
      <c r="T11" s="44"/>
      <c r="U11" s="44"/>
      <c r="V11" s="53">
        <v>20.0</v>
      </c>
      <c r="W11" s="54"/>
      <c r="X11" s="44">
        <f t="shared" si="1"/>
        <v>86.6</v>
      </c>
      <c r="Y11" s="44"/>
      <c r="Z11" s="44"/>
      <c r="AA11" s="44">
        <f t="shared" si="2"/>
        <v>199.8</v>
      </c>
      <c r="AB11" s="44"/>
      <c r="AC11" s="44">
        <f t="shared" si="3"/>
        <v>1686.78</v>
      </c>
      <c r="AD11" s="62">
        <v>2310.0</v>
      </c>
    </row>
    <row r="12" ht="14.25" customHeight="1">
      <c r="A12" s="47">
        <v>45911.0</v>
      </c>
      <c r="B12" s="53">
        <v>298.4</v>
      </c>
      <c r="C12" s="53">
        <v>7.0</v>
      </c>
      <c r="D12" s="44"/>
      <c r="E12" s="44"/>
      <c r="F12" s="53">
        <v>13.4</v>
      </c>
      <c r="G12" s="44">
        <f>11.5+8</f>
        <v>19.5</v>
      </c>
      <c r="H12" s="44"/>
      <c r="I12" s="44">
        <f>3.61</f>
        <v>3.61</v>
      </c>
      <c r="J12" s="44"/>
      <c r="K12" s="44"/>
      <c r="L12" s="53"/>
      <c r="M12" s="44"/>
      <c r="N12" s="44"/>
      <c r="O12" s="44"/>
      <c r="P12" s="44"/>
      <c r="Q12" s="44"/>
      <c r="R12" s="44"/>
      <c r="S12" s="44"/>
      <c r="T12" s="44"/>
      <c r="U12" s="44"/>
      <c r="V12" s="53">
        <v>25.0</v>
      </c>
      <c r="W12" s="46"/>
      <c r="X12" s="44">
        <f t="shared" si="1"/>
        <v>43.51</v>
      </c>
      <c r="Y12" s="44"/>
      <c r="Z12" s="44"/>
      <c r="AA12" s="44">
        <f t="shared" si="2"/>
        <v>254.89</v>
      </c>
      <c r="AB12" s="44"/>
      <c r="AC12" s="44">
        <f t="shared" si="3"/>
        <v>1941.67</v>
      </c>
      <c r="AD12" s="60"/>
    </row>
    <row r="13" ht="14.25" customHeight="1">
      <c r="A13" s="47">
        <v>45912.0</v>
      </c>
      <c r="B13" s="53">
        <v>242.4</v>
      </c>
      <c r="C13" s="53">
        <v>7.0</v>
      </c>
      <c r="D13" s="53">
        <v>65.0</v>
      </c>
      <c r="E13" s="53">
        <v>60.0</v>
      </c>
      <c r="F13" s="53">
        <v>14.1</v>
      </c>
      <c r="G13" s="44">
        <f>12.5+15</f>
        <v>27.5</v>
      </c>
      <c r="H13" s="44"/>
      <c r="I13" s="53">
        <v>9.0</v>
      </c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53">
        <v>180.0</v>
      </c>
      <c r="V13" s="53">
        <v>13.0</v>
      </c>
      <c r="W13" s="46"/>
      <c r="X13" s="44">
        <f t="shared" si="1"/>
        <v>362.6</v>
      </c>
      <c r="Y13" s="44"/>
      <c r="Z13" s="44"/>
      <c r="AA13" s="44">
        <f t="shared" si="2"/>
        <v>-120.2</v>
      </c>
      <c r="AB13" s="44"/>
      <c r="AC13" s="44">
        <f t="shared" si="3"/>
        <v>1821.47</v>
      </c>
      <c r="AD13" s="60"/>
    </row>
    <row r="14" ht="14.25" customHeight="1">
      <c r="A14" s="47">
        <v>45913.0</v>
      </c>
      <c r="B14" s="53">
        <v>200.0</v>
      </c>
      <c r="C14" s="53">
        <v>7.0</v>
      </c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53">
        <v>9.9</v>
      </c>
      <c r="V14" s="53">
        <v>8.0</v>
      </c>
      <c r="W14" s="46"/>
      <c r="X14" s="44">
        <f t="shared" si="1"/>
        <v>16.9</v>
      </c>
      <c r="Y14" s="44"/>
      <c r="Z14" s="44"/>
      <c r="AA14" s="44">
        <f t="shared" si="2"/>
        <v>183.1</v>
      </c>
      <c r="AB14" s="44"/>
      <c r="AC14" s="44">
        <f t="shared" si="3"/>
        <v>2004.57</v>
      </c>
      <c r="AD14" s="60"/>
    </row>
    <row r="15" ht="14.25" customHeight="1">
      <c r="A15" s="48">
        <v>45914.0</v>
      </c>
      <c r="B15" s="51">
        <v>204.0</v>
      </c>
      <c r="C15" s="51">
        <v>7.0</v>
      </c>
      <c r="D15" s="51">
        <v>65.0</v>
      </c>
      <c r="E15" s="50"/>
      <c r="F15" s="50"/>
      <c r="G15" s="50"/>
      <c r="H15" s="50"/>
      <c r="I15" s="51">
        <f>5</f>
        <v>5</v>
      </c>
      <c r="J15" s="50"/>
      <c r="K15" s="50"/>
      <c r="L15" s="51"/>
      <c r="M15" s="50"/>
      <c r="N15" s="50"/>
      <c r="O15" s="50"/>
      <c r="P15" s="50"/>
      <c r="Q15" s="50"/>
      <c r="R15" s="50"/>
      <c r="S15" s="50"/>
      <c r="T15" s="50"/>
      <c r="U15" s="50">
        <f>10+3.5</f>
        <v>13.5</v>
      </c>
      <c r="V15" s="51">
        <v>17.0</v>
      </c>
      <c r="W15" s="52"/>
      <c r="X15" s="50">
        <f t="shared" si="1"/>
        <v>90.5</v>
      </c>
      <c r="Y15" s="50">
        <f>sum(B9:B15)</f>
        <v>2106.08</v>
      </c>
      <c r="Z15" s="50">
        <f>sum(X9:X15)</f>
        <v>830.11</v>
      </c>
      <c r="AA15" s="50">
        <f t="shared" si="2"/>
        <v>113.5</v>
      </c>
      <c r="AB15" s="50">
        <f>Y15-Z15</f>
        <v>1275.97</v>
      </c>
      <c r="AC15" s="50">
        <f t="shared" si="3"/>
        <v>2118.07</v>
      </c>
      <c r="AD15" s="61"/>
    </row>
    <row r="16" ht="14.25" customHeight="1">
      <c r="A16" s="47">
        <v>45915.0</v>
      </c>
      <c r="B16" s="53">
        <v>349.68</v>
      </c>
      <c r="C16" s="53">
        <v>7.0</v>
      </c>
      <c r="D16" s="53">
        <v>65.0</v>
      </c>
      <c r="E16" s="44"/>
      <c r="F16" s="44">
        <f>10.5+4</f>
        <v>14.5</v>
      </c>
      <c r="G16" s="44"/>
      <c r="H16" s="44"/>
      <c r="I16" s="44">
        <f>1.72</f>
        <v>1.72</v>
      </c>
      <c r="J16" s="44"/>
      <c r="K16" s="53"/>
      <c r="L16" s="44"/>
      <c r="M16" s="44"/>
      <c r="N16" s="44"/>
      <c r="O16" s="44"/>
      <c r="P16" s="53">
        <v>50.0</v>
      </c>
      <c r="Q16" s="44"/>
      <c r="R16" s="44"/>
      <c r="S16" s="44"/>
      <c r="T16" s="44"/>
      <c r="U16" s="44"/>
      <c r="V16" s="53">
        <v>16.0</v>
      </c>
      <c r="W16" s="46"/>
      <c r="X16" s="44">
        <f t="shared" si="1"/>
        <v>138.22</v>
      </c>
      <c r="Y16" s="44"/>
      <c r="Z16" s="44"/>
      <c r="AA16" s="44">
        <f t="shared" si="2"/>
        <v>211.46</v>
      </c>
      <c r="AB16" s="44"/>
      <c r="AC16" s="44">
        <f t="shared" si="3"/>
        <v>2329.53</v>
      </c>
      <c r="AD16" s="60"/>
    </row>
    <row r="17" ht="14.25" customHeight="1">
      <c r="A17" s="47">
        <v>45916.0</v>
      </c>
      <c r="B17" s="53">
        <v>215.0</v>
      </c>
      <c r="C17" s="53">
        <v>7.0</v>
      </c>
      <c r="D17" s="53">
        <v>50.0</v>
      </c>
      <c r="E17" s="44"/>
      <c r="F17" s="53">
        <v>7.5</v>
      </c>
      <c r="G17" s="53">
        <v>16.8</v>
      </c>
      <c r="H17" s="44"/>
      <c r="I17" s="53">
        <f>2.1+3.2</f>
        <v>5.3</v>
      </c>
      <c r="J17" s="53"/>
      <c r="K17" s="44"/>
      <c r="L17" s="53"/>
      <c r="M17" s="44"/>
      <c r="N17" s="44"/>
      <c r="O17" s="44"/>
      <c r="P17" s="44"/>
      <c r="Q17" s="44"/>
      <c r="R17" s="44"/>
      <c r="S17" s="44"/>
      <c r="T17" s="44"/>
      <c r="U17" s="53">
        <v>3000.0</v>
      </c>
      <c r="V17" s="53">
        <v>19.0</v>
      </c>
      <c r="W17" s="54" t="s">
        <v>114</v>
      </c>
      <c r="X17" s="44">
        <f t="shared" si="1"/>
        <v>3086.6</v>
      </c>
      <c r="Y17" s="44"/>
      <c r="Z17" s="44"/>
      <c r="AA17" s="44">
        <f t="shared" si="2"/>
        <v>-2871.6</v>
      </c>
      <c r="AB17" s="44"/>
      <c r="AC17" s="44">
        <f t="shared" si="3"/>
        <v>-542.07</v>
      </c>
      <c r="AD17" s="60"/>
    </row>
    <row r="18" ht="14.25" customHeight="1">
      <c r="A18" s="47">
        <v>45917.0</v>
      </c>
      <c r="B18" s="53">
        <v>314.2</v>
      </c>
      <c r="C18" s="53">
        <v>7.0</v>
      </c>
      <c r="D18" s="53">
        <v>65.0</v>
      </c>
      <c r="E18" s="44"/>
      <c r="F18" s="53">
        <v>11.5</v>
      </c>
      <c r="G18" s="53">
        <v>23.0</v>
      </c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53">
        <v>24.0</v>
      </c>
      <c r="W18" s="46"/>
      <c r="X18" s="44">
        <f t="shared" si="1"/>
        <v>106.5</v>
      </c>
      <c r="Y18" s="44"/>
      <c r="Z18" s="44"/>
      <c r="AA18" s="44">
        <f t="shared" si="2"/>
        <v>207.7</v>
      </c>
      <c r="AB18" s="44"/>
      <c r="AC18" s="44">
        <f t="shared" si="3"/>
        <v>-334.37</v>
      </c>
      <c r="AD18" s="60"/>
    </row>
    <row r="19" ht="14.25" customHeight="1">
      <c r="A19" s="47">
        <v>45918.0</v>
      </c>
      <c r="B19" s="53">
        <v>352.2</v>
      </c>
      <c r="C19" s="53">
        <v>7.0</v>
      </c>
      <c r="D19" s="53">
        <v>60.0</v>
      </c>
      <c r="E19" s="44"/>
      <c r="F19" s="53">
        <v>16.0</v>
      </c>
      <c r="G19" s="44"/>
      <c r="H19" s="44"/>
      <c r="I19" s="53">
        <v>5.0</v>
      </c>
      <c r="J19" s="44"/>
      <c r="K19" s="53">
        <v>3.0</v>
      </c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53">
        <v>25.0</v>
      </c>
      <c r="W19" s="46"/>
      <c r="X19" s="44">
        <f t="shared" si="1"/>
        <v>91</v>
      </c>
      <c r="Y19" s="44"/>
      <c r="Z19" s="44"/>
      <c r="AA19" s="44">
        <f t="shared" si="2"/>
        <v>261.2</v>
      </c>
      <c r="AB19" s="44"/>
      <c r="AC19" s="44">
        <f t="shared" si="3"/>
        <v>-73.17</v>
      </c>
      <c r="AD19" s="60"/>
    </row>
    <row r="20" ht="14.25" customHeight="1">
      <c r="A20" s="47">
        <v>45919.0</v>
      </c>
      <c r="B20" s="53">
        <f>346.2+25.8</f>
        <v>372</v>
      </c>
      <c r="C20" s="53">
        <v>7.0</v>
      </c>
      <c r="D20" s="53">
        <v>50.0</v>
      </c>
      <c r="E20" s="44"/>
      <c r="F20" s="53">
        <v>106.0</v>
      </c>
      <c r="G20" s="44"/>
      <c r="H20" s="44"/>
      <c r="I20" s="44"/>
      <c r="J20" s="44"/>
      <c r="K20" s="53">
        <v>12.13</v>
      </c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53">
        <v>24.0</v>
      </c>
      <c r="W20" s="46"/>
      <c r="X20" s="44">
        <f t="shared" si="1"/>
        <v>175.13</v>
      </c>
      <c r="Y20" s="44"/>
      <c r="Z20" s="44"/>
      <c r="AA20" s="44">
        <f t="shared" si="2"/>
        <v>196.87</v>
      </c>
      <c r="AB20" s="44"/>
      <c r="AC20" s="44">
        <f t="shared" si="3"/>
        <v>123.7</v>
      </c>
      <c r="AD20" s="60"/>
    </row>
    <row r="21" ht="14.25" customHeight="1">
      <c r="A21" s="47">
        <v>45920.0</v>
      </c>
      <c r="B21" s="53">
        <v>267.2</v>
      </c>
      <c r="C21" s="53">
        <v>7.0</v>
      </c>
      <c r="D21" s="53">
        <v>68.0</v>
      </c>
      <c r="E21" s="44"/>
      <c r="F21" s="53">
        <v>9.0</v>
      </c>
      <c r="G21" s="53">
        <v>12.7</v>
      </c>
      <c r="H21" s="44"/>
      <c r="I21" s="44">
        <f>3.2+4.5+1.72</f>
        <v>9.42</v>
      </c>
      <c r="J21" s="44"/>
      <c r="K21" s="44"/>
      <c r="L21" s="44"/>
      <c r="M21" s="44"/>
      <c r="N21" s="53"/>
      <c r="O21" s="44"/>
      <c r="P21" s="44"/>
      <c r="Q21" s="44"/>
      <c r="R21" s="44"/>
      <c r="S21" s="44"/>
      <c r="T21" s="44"/>
      <c r="U21" s="44"/>
      <c r="V21" s="53">
        <v>19.0</v>
      </c>
      <c r="W21" s="54" t="s">
        <v>115</v>
      </c>
      <c r="X21" s="44">
        <f t="shared" si="1"/>
        <v>106.12</v>
      </c>
      <c r="Y21" s="44"/>
      <c r="Z21" s="44"/>
      <c r="AA21" s="44">
        <f t="shared" si="2"/>
        <v>161.08</v>
      </c>
      <c r="AB21" s="44"/>
      <c r="AC21" s="44">
        <f t="shared" si="3"/>
        <v>284.78</v>
      </c>
      <c r="AD21" s="60"/>
    </row>
    <row r="22" ht="14.25" customHeight="1">
      <c r="A22" s="48">
        <v>45921.0</v>
      </c>
      <c r="B22" s="51">
        <v>328.8</v>
      </c>
      <c r="C22" s="51">
        <v>7.0</v>
      </c>
      <c r="D22" s="51">
        <v>55.0</v>
      </c>
      <c r="E22" s="50"/>
      <c r="F22" s="51">
        <v>14.9</v>
      </c>
      <c r="G22" s="51">
        <v>10.0</v>
      </c>
      <c r="H22" s="50"/>
      <c r="I22" s="50">
        <f>3.12+2.9+3.03+1</f>
        <v>10.05</v>
      </c>
      <c r="J22" s="50"/>
      <c r="K22" s="51">
        <v>10.0</v>
      </c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1">
        <v>27.0</v>
      </c>
      <c r="W22" s="52"/>
      <c r="X22" s="50">
        <f t="shared" si="1"/>
        <v>106.95</v>
      </c>
      <c r="Y22" s="50">
        <f>sum(B16:B22)</f>
        <v>2199.08</v>
      </c>
      <c r="Z22" s="50">
        <f>sum(X16:X22)</f>
        <v>3810.52</v>
      </c>
      <c r="AA22" s="50">
        <f t="shared" si="2"/>
        <v>221.85</v>
      </c>
      <c r="AB22" s="50">
        <f>Y22-Z22</f>
        <v>-1611.44</v>
      </c>
      <c r="AC22" s="50">
        <f t="shared" si="3"/>
        <v>506.63</v>
      </c>
      <c r="AD22" s="61"/>
    </row>
    <row r="23" ht="14.25" customHeight="1">
      <c r="A23" s="47">
        <v>45922.0</v>
      </c>
      <c r="B23" s="53">
        <f>275.2+206.26+2</f>
        <v>483.46</v>
      </c>
      <c r="C23" s="53">
        <v>7.0</v>
      </c>
      <c r="D23" s="53">
        <v>60.0</v>
      </c>
      <c r="E23" s="44"/>
      <c r="F23" s="53">
        <v>6.0</v>
      </c>
      <c r="G23" s="53">
        <v>12.0</v>
      </c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53">
        <v>22.0</v>
      </c>
      <c r="W23" s="46"/>
      <c r="X23" s="44">
        <f t="shared" si="1"/>
        <v>85</v>
      </c>
      <c r="Y23" s="44"/>
      <c r="Z23" s="44"/>
      <c r="AA23" s="44">
        <f t="shared" si="2"/>
        <v>398.46</v>
      </c>
      <c r="AB23" s="44"/>
      <c r="AC23" s="44">
        <f t="shared" si="3"/>
        <v>905.09</v>
      </c>
      <c r="AD23" s="60"/>
    </row>
    <row r="24" ht="14.25" customHeight="1">
      <c r="A24" s="47">
        <v>45923.0</v>
      </c>
      <c r="B24" s="53">
        <v>233.5</v>
      </c>
      <c r="C24" s="53">
        <v>7.0</v>
      </c>
      <c r="D24" s="53">
        <v>55.0</v>
      </c>
      <c r="E24" s="53"/>
      <c r="F24" s="53">
        <v>9.5</v>
      </c>
      <c r="G24" s="44"/>
      <c r="H24" s="44"/>
      <c r="I24" s="44">
        <f>3.2+2+4.43</f>
        <v>9.63</v>
      </c>
      <c r="J24" s="44"/>
      <c r="K24" s="53">
        <v>8.5</v>
      </c>
      <c r="L24" s="44"/>
      <c r="M24" s="44"/>
      <c r="N24" s="44"/>
      <c r="O24" s="53"/>
      <c r="P24" s="44"/>
      <c r="Q24" s="44"/>
      <c r="R24" s="44"/>
      <c r="S24" s="44"/>
      <c r="T24" s="44"/>
      <c r="U24" s="44"/>
      <c r="V24" s="53">
        <v>32.0</v>
      </c>
      <c r="W24" s="54"/>
      <c r="X24" s="44">
        <f t="shared" si="1"/>
        <v>89.63</v>
      </c>
      <c r="Y24" s="44"/>
      <c r="Z24" s="44"/>
      <c r="AA24" s="44">
        <f t="shared" si="2"/>
        <v>143.87</v>
      </c>
      <c r="AB24" s="44"/>
      <c r="AC24" s="44">
        <f t="shared" si="3"/>
        <v>1048.96</v>
      </c>
      <c r="AD24" s="60"/>
    </row>
    <row r="25" ht="14.25" customHeight="1">
      <c r="A25" s="47">
        <v>45924.0</v>
      </c>
      <c r="B25" s="53">
        <v>304.0</v>
      </c>
      <c r="C25" s="53">
        <v>7.0</v>
      </c>
      <c r="D25" s="53">
        <v>65.0</v>
      </c>
      <c r="E25" s="44"/>
      <c r="F25" s="53">
        <f>7+7</f>
        <v>14</v>
      </c>
      <c r="G25" s="53">
        <v>13.9</v>
      </c>
      <c r="H25" s="44"/>
      <c r="I25" s="44">
        <f>2.5+6.89</f>
        <v>9.39</v>
      </c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53">
        <v>25.0</v>
      </c>
      <c r="W25" s="46"/>
      <c r="X25" s="44">
        <f t="shared" si="1"/>
        <v>109.29</v>
      </c>
      <c r="Y25" s="44"/>
      <c r="Z25" s="44"/>
      <c r="AA25" s="44">
        <f t="shared" si="2"/>
        <v>194.71</v>
      </c>
      <c r="AB25" s="44"/>
      <c r="AC25" s="44">
        <f t="shared" si="3"/>
        <v>1243.67</v>
      </c>
      <c r="AD25" s="60"/>
    </row>
    <row r="26" ht="14.25" customHeight="1">
      <c r="A26" s="47">
        <v>45925.0</v>
      </c>
      <c r="B26" s="53">
        <v>233.0</v>
      </c>
      <c r="C26" s="53">
        <v>7.0</v>
      </c>
      <c r="D26" s="44"/>
      <c r="E26" s="44"/>
      <c r="F26" s="53">
        <f>8.4+10</f>
        <v>18.4</v>
      </c>
      <c r="G26" s="53">
        <v>13.0</v>
      </c>
      <c r="H26" s="44"/>
      <c r="I26" s="53">
        <v>2.71</v>
      </c>
      <c r="J26" s="44"/>
      <c r="K26" s="44"/>
      <c r="L26" s="53"/>
      <c r="M26" s="44"/>
      <c r="N26" s="44"/>
      <c r="O26" s="44"/>
      <c r="P26" s="44"/>
      <c r="Q26" s="44"/>
      <c r="R26" s="44"/>
      <c r="S26" s="44"/>
      <c r="T26" s="44"/>
      <c r="U26" s="44"/>
      <c r="V26" s="53">
        <v>19.0</v>
      </c>
      <c r="W26" s="54"/>
      <c r="X26" s="44">
        <f t="shared" si="1"/>
        <v>41.11</v>
      </c>
      <c r="Y26" s="44"/>
      <c r="Z26" s="44"/>
      <c r="AA26" s="44">
        <f t="shared" si="2"/>
        <v>191.89</v>
      </c>
      <c r="AB26" s="44"/>
      <c r="AC26" s="44">
        <f t="shared" si="3"/>
        <v>1435.56</v>
      </c>
      <c r="AD26" s="60"/>
    </row>
    <row r="27" ht="14.25" customHeight="1">
      <c r="A27" s="47">
        <v>45926.0</v>
      </c>
      <c r="B27" s="53">
        <v>298.5</v>
      </c>
      <c r="C27" s="53">
        <v>7.0</v>
      </c>
      <c r="D27" s="53">
        <v>65.0</v>
      </c>
      <c r="E27" s="44"/>
      <c r="F27" s="53">
        <v>5.2</v>
      </c>
      <c r="G27" s="53">
        <v>15.5</v>
      </c>
      <c r="H27" s="44"/>
      <c r="I27" s="53">
        <v>4.51</v>
      </c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53">
        <v>23.0</v>
      </c>
      <c r="W27" s="54" t="s">
        <v>116</v>
      </c>
      <c r="X27" s="44">
        <f t="shared" si="1"/>
        <v>97.21</v>
      </c>
      <c r="Y27" s="44"/>
      <c r="Z27" s="44"/>
      <c r="AA27" s="44">
        <f t="shared" si="2"/>
        <v>201.29</v>
      </c>
      <c r="AB27" s="44"/>
      <c r="AC27" s="44">
        <f t="shared" si="3"/>
        <v>1636.85</v>
      </c>
      <c r="AD27" s="60"/>
    </row>
    <row r="28" ht="14.25" customHeight="1">
      <c r="A28" s="47">
        <v>45927.0</v>
      </c>
      <c r="B28" s="53">
        <v>216.0</v>
      </c>
      <c r="C28" s="53">
        <v>7.0</v>
      </c>
      <c r="D28" s="53">
        <v>65.0</v>
      </c>
      <c r="E28" s="44"/>
      <c r="F28" s="53">
        <v>7.9</v>
      </c>
      <c r="G28" s="44"/>
      <c r="H28" s="44"/>
      <c r="I28" s="44">
        <f>1.5+2.54</f>
        <v>4.04</v>
      </c>
      <c r="J28" s="44"/>
      <c r="K28" s="53">
        <v>16.8</v>
      </c>
      <c r="L28" s="44"/>
      <c r="M28" s="44"/>
      <c r="N28" s="44"/>
      <c r="O28" s="44"/>
      <c r="P28" s="44"/>
      <c r="Q28" s="44"/>
      <c r="R28" s="44"/>
      <c r="S28" s="44"/>
      <c r="T28" s="44"/>
      <c r="U28" s="53">
        <v>1865.0</v>
      </c>
      <c r="V28" s="53">
        <v>17.0</v>
      </c>
      <c r="W28" s="54" t="s">
        <v>117</v>
      </c>
      <c r="X28" s="44">
        <f t="shared" si="1"/>
        <v>1965.74</v>
      </c>
      <c r="Y28" s="44"/>
      <c r="Z28" s="44"/>
      <c r="AA28" s="44">
        <f t="shared" si="2"/>
        <v>-1749.74</v>
      </c>
      <c r="AB28" s="44"/>
      <c r="AC28" s="44">
        <f t="shared" si="3"/>
        <v>-112.89</v>
      </c>
      <c r="AD28" s="60"/>
    </row>
    <row r="29" ht="14.25" customHeight="1">
      <c r="A29" s="48">
        <v>45928.0</v>
      </c>
      <c r="B29" s="51">
        <v>220.8</v>
      </c>
      <c r="C29" s="51">
        <v>7.0</v>
      </c>
      <c r="D29" s="51">
        <v>60.0</v>
      </c>
      <c r="E29" s="50"/>
      <c r="F29" s="51">
        <v>12.0</v>
      </c>
      <c r="G29" s="50">
        <f>10+12</f>
        <v>22</v>
      </c>
      <c r="H29" s="50"/>
      <c r="I29" s="50">
        <f>2.54+3.2</f>
        <v>5.74</v>
      </c>
      <c r="J29" s="50"/>
      <c r="K29" s="51">
        <v>4.3</v>
      </c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1">
        <v>18.0</v>
      </c>
      <c r="W29" s="52"/>
      <c r="X29" s="50">
        <f t="shared" si="1"/>
        <v>111.04</v>
      </c>
      <c r="Y29" s="50">
        <f>sum(B23:B29)</f>
        <v>1989.26</v>
      </c>
      <c r="Z29" s="50">
        <f>sum(X23:X29)</f>
        <v>2499.02</v>
      </c>
      <c r="AA29" s="50">
        <f t="shared" si="2"/>
        <v>109.76</v>
      </c>
      <c r="AB29" s="50">
        <f>Y29-Z29</f>
        <v>-509.76</v>
      </c>
      <c r="AC29" s="50">
        <f t="shared" si="3"/>
        <v>-3.13</v>
      </c>
      <c r="AD29" s="84">
        <v>2370.0</v>
      </c>
    </row>
    <row r="30" ht="14.25" customHeight="1">
      <c r="A30" s="47">
        <v>45929.0</v>
      </c>
      <c r="B30" s="53">
        <v>352.16</v>
      </c>
      <c r="C30" s="53">
        <v>7.0</v>
      </c>
      <c r="D30" s="53"/>
      <c r="E30" s="44"/>
      <c r="F30" s="44">
        <f>12.9+2.5</f>
        <v>15.4</v>
      </c>
      <c r="G30" s="53">
        <v>21.6</v>
      </c>
      <c r="H30" s="44"/>
      <c r="I30" s="53">
        <f>3.2+3.5</f>
        <v>6.7</v>
      </c>
      <c r="J30" s="44"/>
      <c r="K30" s="53">
        <v>15.9</v>
      </c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53">
        <v>24.0</v>
      </c>
      <c r="W30" s="46"/>
      <c r="X30" s="44">
        <f t="shared" si="1"/>
        <v>66.6</v>
      </c>
      <c r="Y30" s="44"/>
      <c r="Z30" s="44"/>
      <c r="AA30" s="44">
        <f t="shared" si="2"/>
        <v>285.56</v>
      </c>
      <c r="AB30" s="44"/>
      <c r="AC30" s="44">
        <f t="shared" si="3"/>
        <v>282.43</v>
      </c>
      <c r="AD30" s="60"/>
    </row>
    <row r="31" ht="14.25" customHeight="1">
      <c r="A31" s="47">
        <v>45930.0</v>
      </c>
      <c r="B31" s="53">
        <v>251.2</v>
      </c>
      <c r="C31" s="53">
        <v>7.0</v>
      </c>
      <c r="D31" s="53">
        <v>60.0</v>
      </c>
      <c r="E31" s="53">
        <v>65.0</v>
      </c>
      <c r="F31" s="53">
        <v>17.9</v>
      </c>
      <c r="G31" s="44"/>
      <c r="H31" s="44"/>
      <c r="I31" s="53">
        <v>4.51</v>
      </c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53">
        <v>50.0</v>
      </c>
      <c r="V31" s="53">
        <v>15.0</v>
      </c>
      <c r="W31" s="46"/>
      <c r="X31" s="44">
        <f t="shared" si="1"/>
        <v>204.41</v>
      </c>
      <c r="Y31" s="44">
        <f>sum(B30:B31)</f>
        <v>603.36</v>
      </c>
      <c r="Z31" s="44">
        <f>sum(X30:X31)</f>
        <v>271.01</v>
      </c>
      <c r="AA31" s="44">
        <f t="shared" si="2"/>
        <v>46.79</v>
      </c>
      <c r="AB31" s="44">
        <f>Y31-Z31</f>
        <v>332.35</v>
      </c>
      <c r="AC31" s="44">
        <f t="shared" si="3"/>
        <v>329.22</v>
      </c>
      <c r="AD31" s="60"/>
    </row>
    <row r="32" ht="14.25" customHeight="1">
      <c r="A32" s="47"/>
      <c r="B32" s="53"/>
      <c r="C32" s="44"/>
      <c r="D32" s="44"/>
      <c r="E32" s="44"/>
      <c r="F32" s="53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6"/>
      <c r="X32" s="44"/>
      <c r="Y32" s="44"/>
      <c r="Z32" s="44"/>
      <c r="AA32" s="44"/>
      <c r="AB32" s="44"/>
      <c r="AC32" s="44"/>
      <c r="AD32" s="60"/>
    </row>
    <row r="33" ht="14.2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6"/>
      <c r="X33" s="44"/>
      <c r="Y33" s="44"/>
      <c r="Z33" s="44"/>
      <c r="AA33" s="44"/>
      <c r="AB33" s="44"/>
      <c r="AC33" s="44"/>
      <c r="AD33" s="60"/>
    </row>
    <row r="34" ht="14.25" customHeight="1">
      <c r="A34" s="44" t="str">
        <f>count(B2:B31,"number")&amp;" "&amp;"/"&amp;" "&amp;countif(B2:B31,"")</f>
        <v>30 / 0</v>
      </c>
      <c r="B34" s="44">
        <f t="shared" ref="B34:U34" si="4">SUM(B2:B33)</f>
        <v>9215.91</v>
      </c>
      <c r="C34" s="44">
        <f t="shared" si="4"/>
        <v>210</v>
      </c>
      <c r="D34" s="44">
        <f t="shared" si="4"/>
        <v>1523</v>
      </c>
      <c r="E34" s="44">
        <f t="shared" si="4"/>
        <v>175</v>
      </c>
      <c r="F34" s="44">
        <f t="shared" si="4"/>
        <v>455.2</v>
      </c>
      <c r="G34" s="44">
        <f t="shared" si="4"/>
        <v>371</v>
      </c>
      <c r="H34" s="44">
        <f t="shared" si="4"/>
        <v>0</v>
      </c>
      <c r="I34" s="44">
        <f t="shared" si="4"/>
        <v>135.25</v>
      </c>
      <c r="J34" s="44">
        <f t="shared" si="4"/>
        <v>0</v>
      </c>
      <c r="K34" s="44">
        <f t="shared" si="4"/>
        <v>165.33</v>
      </c>
      <c r="L34" s="44">
        <f t="shared" si="4"/>
        <v>0</v>
      </c>
      <c r="M34" s="44">
        <f t="shared" si="4"/>
        <v>0</v>
      </c>
      <c r="N34" s="44">
        <f t="shared" si="4"/>
        <v>0</v>
      </c>
      <c r="O34" s="44">
        <f t="shared" si="4"/>
        <v>10</v>
      </c>
      <c r="P34" s="44">
        <f t="shared" si="4"/>
        <v>50</v>
      </c>
      <c r="Q34" s="44">
        <f t="shared" si="4"/>
        <v>12</v>
      </c>
      <c r="R34" s="44">
        <f t="shared" si="4"/>
        <v>350</v>
      </c>
      <c r="S34" s="44">
        <f t="shared" si="4"/>
        <v>11.51</v>
      </c>
      <c r="T34" s="44">
        <f t="shared" si="4"/>
        <v>200</v>
      </c>
      <c r="U34" s="44">
        <f t="shared" si="4"/>
        <v>5218.4</v>
      </c>
      <c r="V34" s="44"/>
      <c r="W34" s="46"/>
      <c r="X34" s="44">
        <f>SUM(X2:X33)</f>
        <v>8886.69</v>
      </c>
      <c r="Y34" s="44"/>
      <c r="Z34" s="44"/>
      <c r="AA34" s="44"/>
      <c r="AB34" s="44"/>
      <c r="AC34" s="44"/>
      <c r="AD34" s="60"/>
    </row>
    <row r="35" ht="14.25" customHeight="1">
      <c r="A35" s="57" t="s">
        <v>62</v>
      </c>
      <c r="B35" s="65">
        <f>B34-(C34+D34+E34+F34+G34+H34+I34+J34+K34+L34+M34+N34+O34+P34+Q34+R34+S34+T34+U34)</f>
        <v>329.22</v>
      </c>
      <c r="C35" s="44"/>
      <c r="D35" s="44">
        <f>D34+E34</f>
        <v>1698</v>
      </c>
      <c r="F35" s="44">
        <f>G34+F34</f>
        <v>826.2</v>
      </c>
      <c r="H35" s="44"/>
      <c r="I35" s="44"/>
      <c r="J35" s="66" t="s">
        <v>80</v>
      </c>
      <c r="K35" s="67" t="s">
        <v>81</v>
      </c>
      <c r="L35" s="68" t="s">
        <v>82</v>
      </c>
      <c r="M35" s="69" t="s">
        <v>83</v>
      </c>
      <c r="N35" s="70" t="s">
        <v>84</v>
      </c>
      <c r="O35" s="71" t="s">
        <v>85</v>
      </c>
      <c r="P35" s="44"/>
      <c r="Q35" s="44"/>
      <c r="R35" s="44"/>
      <c r="S35" s="44"/>
      <c r="T35" s="44"/>
      <c r="U35" s="44"/>
      <c r="V35" s="44"/>
      <c r="W35" s="46" t="s">
        <v>63</v>
      </c>
      <c r="X35" s="46"/>
      <c r="Y35" s="46"/>
      <c r="Z35" s="46"/>
      <c r="AA35" s="46"/>
      <c r="AB35" s="59">
        <f>B35/B34</f>
        <v>0.03572300511</v>
      </c>
      <c r="AC35" s="59"/>
      <c r="AD35" s="60"/>
    </row>
  </sheetData>
  <mergeCells count="4">
    <mergeCell ref="D1:E1"/>
    <mergeCell ref="F1:G1"/>
    <mergeCell ref="D35:E35"/>
    <mergeCell ref="F35:G35"/>
  </mergeCells>
  <conditionalFormatting sqref="AC2:AC32">
    <cfRule type="cellIs" dxfId="2" priority="1" operator="lessThan">
      <formula>1000</formula>
    </cfRule>
  </conditionalFormatting>
  <conditionalFormatting sqref="AC2:AC32">
    <cfRule type="cellIs" dxfId="3" priority="2" operator="lessThan">
      <formula>2000</formula>
    </cfRule>
  </conditionalFormatting>
  <conditionalFormatting sqref="AC2:AC32">
    <cfRule type="cellIs" dxfId="4" priority="3" operator="lessThan">
      <formula>3000</formula>
    </cfRule>
  </conditionalFormatting>
  <conditionalFormatting sqref="AC2:AC32">
    <cfRule type="cellIs" dxfId="5" priority="4" operator="lessThan">
      <formula>4000</formula>
    </cfRule>
  </conditionalFormatting>
  <conditionalFormatting sqref="AC2:AC32">
    <cfRule type="cellIs" dxfId="6" priority="5" operator="lessThan">
      <formula>5000</formula>
    </cfRule>
  </conditionalFormatting>
  <conditionalFormatting sqref="AC2:AC32">
    <cfRule type="cellIs" dxfId="7" priority="6" operator="lessThan">
      <formula>6000</formula>
    </cfRule>
  </conditionalFormatting>
  <conditionalFormatting sqref="AC2:AC32">
    <cfRule type="cellIs" dxfId="8" priority="7" operator="greaterThan">
      <formula>6000</formula>
    </cfRule>
  </conditionalFormatting>
  <conditionalFormatting sqref="B2:B31">
    <cfRule type="cellIs" dxfId="9" priority="8" operator="between">
      <formula>0</formula>
      <formula>99.99</formula>
    </cfRule>
  </conditionalFormatting>
  <conditionalFormatting sqref="B2:B31">
    <cfRule type="cellIs" dxfId="3" priority="9" operator="between">
      <formula>100</formula>
      <formula>199.99</formula>
    </cfRule>
  </conditionalFormatting>
  <conditionalFormatting sqref="B2:B31">
    <cfRule type="cellIs" dxfId="10" priority="10" operator="between">
      <formula>200</formula>
      <formula>299.99</formula>
    </cfRule>
  </conditionalFormatting>
  <conditionalFormatting sqref="B2:B31">
    <cfRule type="cellIs" dxfId="5" priority="11" operator="between">
      <formula>300</formula>
      <formula>399.99</formula>
    </cfRule>
  </conditionalFormatting>
  <conditionalFormatting sqref="B2:B31">
    <cfRule type="cellIs" dxfId="6" priority="12" operator="between">
      <formula>400</formula>
      <formula>499.99</formula>
    </cfRule>
  </conditionalFormatting>
  <conditionalFormatting sqref="B2:B31">
    <cfRule type="cellIs" dxfId="7" priority="13" operator="greaterThan">
      <formula>500</formula>
    </cfRule>
  </conditionalFormatting>
  <conditionalFormatting sqref="AA2:AA31">
    <cfRule type="cellIs" dxfId="0" priority="14" operator="greaterThan">
      <formula>0</formula>
    </cfRule>
  </conditionalFormatting>
  <conditionalFormatting sqref="AA2:AA31">
    <cfRule type="cellIs" dxfId="11" priority="15" operator="lessThan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88"/>
    <col customWidth="1" min="2" max="2" width="10.75"/>
    <col customWidth="1" min="3" max="3" width="8.63"/>
    <col customWidth="1" min="4" max="5" width="8.25"/>
    <col customWidth="1" min="6" max="7" width="8.0"/>
    <col customWidth="1" min="8" max="9" width="7.63"/>
    <col customWidth="1" min="10" max="14" width="9.75"/>
    <col customWidth="1" min="15" max="21" width="7.63"/>
    <col customWidth="1" min="22" max="23" width="14.38"/>
    <col customWidth="1" min="24" max="24" width="9.38"/>
    <col customWidth="1" min="25" max="25" width="11.5"/>
    <col customWidth="1" min="26" max="30" width="9.38"/>
  </cols>
  <sheetData>
    <row r="1" ht="14.25" customHeight="1">
      <c r="A1" s="44" t="s">
        <v>53</v>
      </c>
      <c r="B1" s="44" t="s">
        <v>1</v>
      </c>
      <c r="C1" s="44" t="s">
        <v>16</v>
      </c>
      <c r="D1" s="44" t="s">
        <v>17</v>
      </c>
      <c r="F1" s="44" t="s">
        <v>18</v>
      </c>
      <c r="H1" s="44" t="s">
        <v>19</v>
      </c>
      <c r="I1" s="44" t="s">
        <v>20</v>
      </c>
      <c r="J1" s="44" t="s">
        <v>21</v>
      </c>
      <c r="K1" s="44" t="s">
        <v>22</v>
      </c>
      <c r="L1" s="44" t="s">
        <v>23</v>
      </c>
      <c r="M1" s="44" t="s">
        <v>24</v>
      </c>
      <c r="N1" s="44" t="s">
        <v>25</v>
      </c>
      <c r="O1" s="44" t="s">
        <v>26</v>
      </c>
      <c r="P1" s="44" t="s">
        <v>27</v>
      </c>
      <c r="Q1" s="44" t="s">
        <v>28</v>
      </c>
      <c r="R1" s="44" t="s">
        <v>29</v>
      </c>
      <c r="S1" s="44" t="s">
        <v>32</v>
      </c>
      <c r="T1" s="44" t="s">
        <v>34</v>
      </c>
      <c r="U1" s="44" t="s">
        <v>36</v>
      </c>
      <c r="V1" s="53" t="s">
        <v>40</v>
      </c>
      <c r="W1" s="46" t="s">
        <v>54</v>
      </c>
      <c r="X1" s="44" t="s">
        <v>2</v>
      </c>
      <c r="Y1" s="44" t="s">
        <v>55</v>
      </c>
      <c r="Z1" s="44" t="s">
        <v>56</v>
      </c>
      <c r="AA1" s="44" t="s">
        <v>57</v>
      </c>
      <c r="AB1" s="44" t="s">
        <v>58</v>
      </c>
      <c r="AC1" s="53" t="s">
        <v>78</v>
      </c>
      <c r="AD1" s="60"/>
    </row>
    <row r="2" ht="14.25" customHeight="1">
      <c r="A2" s="47">
        <v>45931.0</v>
      </c>
      <c r="B2" s="53">
        <v>254.2</v>
      </c>
      <c r="C2" s="53">
        <v>7.0</v>
      </c>
      <c r="D2" s="53">
        <v>65.0</v>
      </c>
      <c r="E2" s="44"/>
      <c r="F2" s="53">
        <v>15.0</v>
      </c>
      <c r="G2" s="44"/>
      <c r="H2" s="53">
        <v>440.0</v>
      </c>
      <c r="I2" s="44"/>
      <c r="J2" s="44"/>
      <c r="K2" s="44"/>
      <c r="L2" s="44"/>
      <c r="M2" s="44"/>
      <c r="N2" s="44"/>
      <c r="O2" s="44"/>
      <c r="P2" s="44"/>
      <c r="Q2" s="44"/>
      <c r="R2" s="53">
        <v>350.0</v>
      </c>
      <c r="S2" s="53">
        <v>9.38</v>
      </c>
      <c r="T2" s="53">
        <v>200.0</v>
      </c>
      <c r="U2" s="44"/>
      <c r="V2" s="53">
        <v>21.0</v>
      </c>
      <c r="W2" s="46"/>
      <c r="X2" s="44">
        <f t="shared" ref="X2:X32" si="1">sum(C2:U2)</f>
        <v>1086.38</v>
      </c>
      <c r="Y2" s="44"/>
      <c r="Z2" s="44"/>
      <c r="AA2" s="44">
        <f t="shared" ref="AA2:AA32" si="2">B2-X2</f>
        <v>-832.18</v>
      </c>
      <c r="AB2" s="44"/>
      <c r="AC2" s="44">
        <f>AA2</f>
        <v>-832.18</v>
      </c>
      <c r="AD2" s="60"/>
    </row>
    <row r="3" ht="14.25" customHeight="1">
      <c r="A3" s="47">
        <v>45932.0</v>
      </c>
      <c r="B3" s="53">
        <v>318.8</v>
      </c>
      <c r="C3" s="53">
        <v>7.0</v>
      </c>
      <c r="D3" s="53"/>
      <c r="E3" s="44"/>
      <c r="F3" s="53">
        <v>8.0</v>
      </c>
      <c r="G3" s="53">
        <v>13.0</v>
      </c>
      <c r="H3" s="44"/>
      <c r="I3" s="53">
        <v>3.2</v>
      </c>
      <c r="J3" s="53">
        <v>20.0</v>
      </c>
      <c r="K3" s="53"/>
      <c r="L3" s="44"/>
      <c r="M3" s="44"/>
      <c r="N3" s="44"/>
      <c r="O3" s="44"/>
      <c r="P3" s="44"/>
      <c r="Q3" s="44"/>
      <c r="R3" s="44"/>
      <c r="S3" s="44"/>
      <c r="T3" s="44"/>
      <c r="U3" s="44"/>
      <c r="V3" s="53">
        <v>26.0</v>
      </c>
      <c r="W3" s="46"/>
      <c r="X3" s="44">
        <f t="shared" si="1"/>
        <v>51.2</v>
      </c>
      <c r="Y3" s="44"/>
      <c r="Z3" s="44"/>
      <c r="AA3" s="44">
        <f t="shared" si="2"/>
        <v>267.6</v>
      </c>
      <c r="AB3" s="44"/>
      <c r="AC3" s="44">
        <f t="shared" ref="AC3:AC32" si="3">AC2+AA3</f>
        <v>-564.58</v>
      </c>
      <c r="AD3" s="62">
        <v>460.0</v>
      </c>
    </row>
    <row r="4" ht="14.25" customHeight="1">
      <c r="A4" s="47">
        <v>45933.0</v>
      </c>
      <c r="B4" s="53">
        <v>328.0</v>
      </c>
      <c r="C4" s="53">
        <v>7.0</v>
      </c>
      <c r="D4" s="53">
        <v>65.0</v>
      </c>
      <c r="E4" s="44"/>
      <c r="F4" s="53">
        <v>11.0</v>
      </c>
      <c r="G4" s="53">
        <v>6.0</v>
      </c>
      <c r="H4" s="44"/>
      <c r="I4" s="53">
        <v>3.2</v>
      </c>
      <c r="J4" s="44"/>
      <c r="K4" s="53">
        <v>8.3</v>
      </c>
      <c r="L4" s="44"/>
      <c r="M4" s="44"/>
      <c r="N4" s="44"/>
      <c r="O4" s="44"/>
      <c r="P4" s="44"/>
      <c r="Q4" s="44"/>
      <c r="R4" s="44"/>
      <c r="S4" s="44"/>
      <c r="T4" s="44"/>
      <c r="U4" s="44"/>
      <c r="V4" s="53">
        <v>12.0</v>
      </c>
      <c r="W4" s="46"/>
      <c r="X4" s="44">
        <f t="shared" si="1"/>
        <v>100.5</v>
      </c>
      <c r="Y4" s="44"/>
      <c r="Z4" s="44"/>
      <c r="AA4" s="44">
        <f t="shared" si="2"/>
        <v>227.5</v>
      </c>
      <c r="AB4" s="44"/>
      <c r="AC4" s="44">
        <f t="shared" si="3"/>
        <v>-337.08</v>
      </c>
      <c r="AD4" s="60"/>
    </row>
    <row r="5" ht="14.25" customHeight="1">
      <c r="A5" s="47">
        <v>45934.0</v>
      </c>
      <c r="B5" s="53">
        <v>201.4</v>
      </c>
      <c r="C5" s="53">
        <v>7.0</v>
      </c>
      <c r="D5" s="53">
        <v>60.0</v>
      </c>
      <c r="E5" s="44"/>
      <c r="F5" s="53">
        <v>8.0</v>
      </c>
      <c r="G5" s="53">
        <v>12.0</v>
      </c>
      <c r="H5" s="44"/>
      <c r="I5" s="44">
        <f>1.85+3.2</f>
        <v>5.05</v>
      </c>
      <c r="J5" s="53">
        <f>390+6</f>
        <v>396</v>
      </c>
      <c r="K5" s="53">
        <v>18.4</v>
      </c>
      <c r="L5" s="44"/>
      <c r="M5" s="44"/>
      <c r="N5" s="44"/>
      <c r="O5" s="44"/>
      <c r="P5" s="44"/>
      <c r="Q5" s="44"/>
      <c r="R5" s="53"/>
      <c r="S5" s="44"/>
      <c r="T5" s="44"/>
      <c r="U5" s="41"/>
      <c r="V5" s="53">
        <v>13.0</v>
      </c>
      <c r="W5" s="54" t="s">
        <v>118</v>
      </c>
      <c r="X5" s="44">
        <f t="shared" si="1"/>
        <v>506.45</v>
      </c>
      <c r="Y5" s="44"/>
      <c r="Z5" s="44"/>
      <c r="AA5" s="44">
        <f t="shared" si="2"/>
        <v>-305.05</v>
      </c>
      <c r="AB5" s="44"/>
      <c r="AC5" s="44">
        <f t="shared" si="3"/>
        <v>-642.13</v>
      </c>
      <c r="AD5" s="60"/>
    </row>
    <row r="6" ht="14.25" customHeight="1">
      <c r="A6" s="48">
        <v>45935.0</v>
      </c>
      <c r="B6" s="51">
        <v>432.8</v>
      </c>
      <c r="C6" s="51">
        <v>7.0</v>
      </c>
      <c r="D6" s="51">
        <v>65.0</v>
      </c>
      <c r="E6" s="50"/>
      <c r="F6" s="51">
        <v>17.7</v>
      </c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1">
        <v>31.0</v>
      </c>
      <c r="W6" s="52"/>
      <c r="X6" s="50">
        <f t="shared" si="1"/>
        <v>89.7</v>
      </c>
      <c r="Y6" s="50">
        <f>sum(B2:B6)</f>
        <v>1535.2</v>
      </c>
      <c r="Z6" s="50">
        <f>sum(X2:X6)</f>
        <v>1834.23</v>
      </c>
      <c r="AA6" s="50">
        <f t="shared" si="2"/>
        <v>343.1</v>
      </c>
      <c r="AB6" s="50">
        <f>sum(Y6:Z6)</f>
        <v>3369.43</v>
      </c>
      <c r="AC6" s="50">
        <f t="shared" si="3"/>
        <v>-299.03</v>
      </c>
      <c r="AD6" s="61"/>
    </row>
    <row r="7" ht="14.25" customHeight="1">
      <c r="A7" s="47">
        <v>45936.0</v>
      </c>
      <c r="B7" s="53">
        <v>610.1</v>
      </c>
      <c r="C7" s="53">
        <v>7.0</v>
      </c>
      <c r="D7" s="53">
        <v>65.0</v>
      </c>
      <c r="E7" s="44"/>
      <c r="F7" s="44">
        <f>5+13.3</f>
        <v>18.3</v>
      </c>
      <c r="G7" s="53">
        <v>8.0</v>
      </c>
      <c r="H7" s="44"/>
      <c r="I7" s="44">
        <f>2.13+2.3+2.3+3.5</f>
        <v>10.23</v>
      </c>
      <c r="J7" s="44"/>
      <c r="K7" s="44"/>
      <c r="L7" s="44"/>
      <c r="M7" s="44"/>
      <c r="N7" s="44"/>
      <c r="O7" s="44"/>
      <c r="P7" s="53">
        <v>10.0</v>
      </c>
      <c r="Q7" s="44"/>
      <c r="R7" s="44"/>
      <c r="S7" s="44"/>
      <c r="T7" s="44"/>
      <c r="U7" s="44"/>
      <c r="V7" s="53">
        <v>24.0</v>
      </c>
      <c r="W7" s="46"/>
      <c r="X7" s="44">
        <f t="shared" si="1"/>
        <v>118.53</v>
      </c>
      <c r="Y7" s="44"/>
      <c r="Z7" s="44"/>
      <c r="AA7" s="44">
        <f t="shared" si="2"/>
        <v>491.57</v>
      </c>
      <c r="AB7" s="44"/>
      <c r="AC7" s="44">
        <f t="shared" si="3"/>
        <v>192.54</v>
      </c>
      <c r="AD7" s="60"/>
    </row>
    <row r="8" ht="14.25" customHeight="1">
      <c r="A8" s="47">
        <v>45937.0</v>
      </c>
      <c r="B8" s="53">
        <v>223.2</v>
      </c>
      <c r="C8" s="53">
        <v>7.0</v>
      </c>
      <c r="D8" s="53">
        <v>55.0</v>
      </c>
      <c r="E8" s="44"/>
      <c r="F8" s="53">
        <f>19.5+20</f>
        <v>39.5</v>
      </c>
      <c r="G8" s="44"/>
      <c r="H8" s="44"/>
      <c r="I8" s="44">
        <f>3.12+4.51</f>
        <v>7.63</v>
      </c>
      <c r="J8" s="44"/>
      <c r="K8" s="44"/>
      <c r="L8" s="44"/>
      <c r="M8" s="44"/>
      <c r="N8" s="53"/>
      <c r="O8" s="53">
        <v>5.0</v>
      </c>
      <c r="P8" s="44"/>
      <c r="Q8" s="44"/>
      <c r="R8" s="44"/>
      <c r="S8" s="44"/>
      <c r="T8" s="44"/>
      <c r="U8" s="53">
        <v>50.0</v>
      </c>
      <c r="V8" s="53">
        <v>21.0</v>
      </c>
      <c r="W8" s="54" t="s">
        <v>119</v>
      </c>
      <c r="X8" s="44">
        <f t="shared" si="1"/>
        <v>164.13</v>
      </c>
      <c r="Y8" s="44"/>
      <c r="Z8" s="44"/>
      <c r="AA8" s="44">
        <f t="shared" si="2"/>
        <v>59.07</v>
      </c>
      <c r="AB8" s="44"/>
      <c r="AC8" s="44">
        <f t="shared" si="3"/>
        <v>251.61</v>
      </c>
      <c r="AD8" s="60"/>
    </row>
    <row r="9" ht="14.25" customHeight="1">
      <c r="A9" s="47">
        <v>45938.0</v>
      </c>
      <c r="B9" s="53">
        <v>245.6</v>
      </c>
      <c r="C9" s="53">
        <v>7.0</v>
      </c>
      <c r="D9" s="53">
        <v>55.0</v>
      </c>
      <c r="E9" s="44"/>
      <c r="F9" s="44">
        <f>11+15</f>
        <v>26</v>
      </c>
      <c r="G9" s="44"/>
      <c r="H9" s="44"/>
      <c r="I9" s="44">
        <f>3.12</f>
        <v>3.12</v>
      </c>
      <c r="J9" s="44"/>
      <c r="K9" s="44"/>
      <c r="L9" s="44"/>
      <c r="M9" s="44"/>
      <c r="O9" s="44"/>
      <c r="P9" s="44"/>
      <c r="Q9" s="44"/>
      <c r="R9" s="44"/>
      <c r="S9" s="44"/>
      <c r="T9" s="44"/>
      <c r="U9" s="44"/>
      <c r="V9" s="53">
        <v>22.0</v>
      </c>
      <c r="W9" s="46"/>
      <c r="X9" s="44">
        <f t="shared" si="1"/>
        <v>91.12</v>
      </c>
      <c r="Y9" s="44"/>
      <c r="Z9" s="44"/>
      <c r="AA9" s="44">
        <f t="shared" si="2"/>
        <v>154.48</v>
      </c>
      <c r="AB9" s="44"/>
      <c r="AC9" s="44">
        <f t="shared" si="3"/>
        <v>406.09</v>
      </c>
      <c r="AD9" s="60"/>
    </row>
    <row r="10" ht="14.25" customHeight="1">
      <c r="A10" s="47">
        <v>45939.0</v>
      </c>
      <c r="B10" s="53">
        <v>215.6</v>
      </c>
      <c r="C10" s="53">
        <v>7.0</v>
      </c>
      <c r="D10" s="53">
        <v>65.0</v>
      </c>
      <c r="E10" s="44"/>
      <c r="F10" s="44">
        <f>12</f>
        <v>12</v>
      </c>
      <c r="G10" s="53">
        <v>28.0</v>
      </c>
      <c r="H10" s="44"/>
      <c r="I10" s="44">
        <f>3.12+2.5</f>
        <v>5.62</v>
      </c>
      <c r="J10" s="44"/>
      <c r="K10" s="53">
        <v>245.0</v>
      </c>
      <c r="L10" s="53"/>
      <c r="M10" s="44"/>
      <c r="N10" s="44"/>
      <c r="O10" s="44"/>
      <c r="P10" s="44"/>
      <c r="Q10" s="44"/>
      <c r="R10" s="44"/>
      <c r="S10" s="44"/>
      <c r="T10" s="44"/>
      <c r="U10" s="44"/>
      <c r="V10" s="53">
        <v>21.0</v>
      </c>
      <c r="W10" s="54" t="s">
        <v>120</v>
      </c>
      <c r="X10" s="44">
        <f t="shared" si="1"/>
        <v>362.62</v>
      </c>
      <c r="Y10" s="44"/>
      <c r="Z10" s="44"/>
      <c r="AA10" s="44">
        <f t="shared" si="2"/>
        <v>-147.02</v>
      </c>
      <c r="AB10" s="44"/>
      <c r="AC10" s="44">
        <f t="shared" si="3"/>
        <v>259.07</v>
      </c>
      <c r="AD10" s="60"/>
    </row>
    <row r="11" ht="14.25" customHeight="1">
      <c r="A11" s="47">
        <v>45940.0</v>
      </c>
      <c r="B11" s="53">
        <v>216.8</v>
      </c>
      <c r="C11" s="53">
        <v>7.0</v>
      </c>
      <c r="D11" s="53">
        <v>65.0</v>
      </c>
      <c r="E11" s="44"/>
      <c r="F11" s="53">
        <v>92.35</v>
      </c>
      <c r="G11" s="44"/>
      <c r="H11" s="44"/>
      <c r="I11" s="44">
        <f>3.12+2.1+3.53</f>
        <v>8.75</v>
      </c>
      <c r="J11" s="44"/>
      <c r="K11" s="44"/>
      <c r="L11" s="53"/>
      <c r="M11" s="44"/>
      <c r="N11" s="44"/>
      <c r="O11" s="44"/>
      <c r="P11" s="44"/>
      <c r="Q11" s="44"/>
      <c r="R11" s="44"/>
      <c r="S11" s="44"/>
      <c r="T11" s="44"/>
      <c r="U11" s="44"/>
      <c r="V11" s="53">
        <v>19.0</v>
      </c>
      <c r="W11" s="54"/>
      <c r="X11" s="44">
        <f t="shared" si="1"/>
        <v>173.1</v>
      </c>
      <c r="Y11" s="44"/>
      <c r="Z11" s="44"/>
      <c r="AA11" s="44">
        <f t="shared" si="2"/>
        <v>43.7</v>
      </c>
      <c r="AB11" s="44"/>
      <c r="AC11" s="44">
        <f t="shared" si="3"/>
        <v>302.77</v>
      </c>
      <c r="AD11" s="60"/>
    </row>
    <row r="12" ht="14.25" customHeight="1">
      <c r="A12" s="47">
        <v>45941.0</v>
      </c>
      <c r="B12" s="53">
        <v>286.4</v>
      </c>
      <c r="C12" s="53">
        <v>7.0</v>
      </c>
      <c r="D12" s="53">
        <v>60.0</v>
      </c>
      <c r="E12" s="44"/>
      <c r="F12" s="44">
        <f>10+6</f>
        <v>16</v>
      </c>
      <c r="G12" s="53">
        <v>9.0</v>
      </c>
      <c r="H12" s="44"/>
      <c r="I12" s="44">
        <f>3.5</f>
        <v>3.5</v>
      </c>
      <c r="J12" s="44"/>
      <c r="K12" s="53">
        <f>23.9+11.5</f>
        <v>35.4</v>
      </c>
      <c r="L12" s="53"/>
      <c r="M12" s="44"/>
      <c r="N12" s="44"/>
      <c r="O12" s="53">
        <v>5.0</v>
      </c>
      <c r="P12" s="44"/>
      <c r="Q12" s="44"/>
      <c r="R12" s="44"/>
      <c r="S12" s="44"/>
      <c r="T12" s="44"/>
      <c r="U12" s="44"/>
      <c r="V12" s="53">
        <v>21.0</v>
      </c>
      <c r="W12" s="46"/>
      <c r="X12" s="44">
        <f t="shared" si="1"/>
        <v>135.9</v>
      </c>
      <c r="Y12" s="44"/>
      <c r="Z12" s="44"/>
      <c r="AA12" s="44">
        <f t="shared" si="2"/>
        <v>150.5</v>
      </c>
      <c r="AB12" s="44"/>
      <c r="AC12" s="44">
        <f t="shared" si="3"/>
        <v>453.27</v>
      </c>
      <c r="AD12" s="62">
        <v>1880.0</v>
      </c>
    </row>
    <row r="13" ht="14.25" customHeight="1">
      <c r="A13" s="48">
        <v>45942.0</v>
      </c>
      <c r="B13" s="51">
        <v>252.8</v>
      </c>
      <c r="C13" s="51">
        <v>7.0</v>
      </c>
      <c r="D13" s="51">
        <v>60.0</v>
      </c>
      <c r="E13" s="50"/>
      <c r="F13" s="50">
        <f>12+10</f>
        <v>22</v>
      </c>
      <c r="G13" s="50"/>
      <c r="H13" s="50"/>
      <c r="I13" s="50">
        <f>9.27</f>
        <v>9.27</v>
      </c>
      <c r="J13" s="50"/>
      <c r="K13" s="50">
        <f>7.35</f>
        <v>7.35</v>
      </c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1">
        <v>23.0</v>
      </c>
      <c r="W13" s="52"/>
      <c r="X13" s="50">
        <f t="shared" si="1"/>
        <v>105.62</v>
      </c>
      <c r="Y13" s="50">
        <f>sum(B7:B13)</f>
        <v>2050.5</v>
      </c>
      <c r="Z13" s="50">
        <f>sum(X7:X13)</f>
        <v>1151.02</v>
      </c>
      <c r="AA13" s="50">
        <f t="shared" si="2"/>
        <v>147.18</v>
      </c>
      <c r="AB13" s="50">
        <f>Y13-Z13</f>
        <v>899.48</v>
      </c>
      <c r="AC13" s="50">
        <f t="shared" si="3"/>
        <v>600.45</v>
      </c>
      <c r="AD13" s="61"/>
    </row>
    <row r="14" ht="14.25" customHeight="1">
      <c r="A14" s="47">
        <v>45943.0</v>
      </c>
      <c r="B14" s="53">
        <v>231.9</v>
      </c>
      <c r="C14" s="53">
        <v>7.0</v>
      </c>
      <c r="D14" s="53">
        <v>65.0</v>
      </c>
      <c r="E14" s="44"/>
      <c r="F14" s="53">
        <v>8.0</v>
      </c>
      <c r="G14" s="53">
        <v>10.9</v>
      </c>
      <c r="H14" s="44"/>
      <c r="I14" s="53">
        <v>3.12</v>
      </c>
      <c r="J14" s="44"/>
      <c r="K14" s="53">
        <f>9.5</f>
        <v>9.5</v>
      </c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53">
        <v>25.0</v>
      </c>
      <c r="W14" s="46"/>
      <c r="X14" s="44">
        <f t="shared" si="1"/>
        <v>103.52</v>
      </c>
      <c r="Y14" s="44"/>
      <c r="Z14" s="44"/>
      <c r="AA14" s="44">
        <f t="shared" si="2"/>
        <v>128.38</v>
      </c>
      <c r="AB14" s="44"/>
      <c r="AC14" s="44">
        <f t="shared" si="3"/>
        <v>728.83</v>
      </c>
      <c r="AD14" s="60"/>
    </row>
    <row r="15" ht="14.25" customHeight="1">
      <c r="A15" s="47">
        <v>45944.0</v>
      </c>
      <c r="B15" s="53">
        <v>337.78</v>
      </c>
      <c r="C15" s="53">
        <v>7.0</v>
      </c>
      <c r="D15" s="53">
        <v>70.0</v>
      </c>
      <c r="E15" s="44"/>
      <c r="F15" s="53">
        <v>7.7</v>
      </c>
      <c r="G15" s="53">
        <v>21.4</v>
      </c>
      <c r="H15" s="44"/>
      <c r="I15" s="44">
        <f>3.85</f>
        <v>3.85</v>
      </c>
      <c r="J15" s="44"/>
      <c r="K15" s="44"/>
      <c r="L15" s="53"/>
      <c r="M15" s="44"/>
      <c r="N15" s="44"/>
      <c r="O15" s="44"/>
      <c r="P15" s="44"/>
      <c r="Q15" s="44"/>
      <c r="R15" s="44"/>
      <c r="S15" s="44"/>
      <c r="T15" s="44"/>
      <c r="U15" s="44"/>
      <c r="V15" s="53">
        <v>29.0</v>
      </c>
      <c r="W15" s="46"/>
      <c r="X15" s="44">
        <f t="shared" si="1"/>
        <v>109.95</v>
      </c>
      <c r="Y15" s="44"/>
      <c r="Z15" s="44"/>
      <c r="AA15" s="44">
        <f t="shared" si="2"/>
        <v>227.83</v>
      </c>
      <c r="AB15" s="44"/>
      <c r="AC15" s="44">
        <f t="shared" si="3"/>
        <v>956.66</v>
      </c>
      <c r="AD15" s="60"/>
    </row>
    <row r="16" ht="14.25" customHeight="1">
      <c r="A16" s="47">
        <v>45945.0</v>
      </c>
      <c r="B16" s="53">
        <v>339.0</v>
      </c>
      <c r="C16" s="53">
        <v>7.0</v>
      </c>
      <c r="D16" s="53">
        <v>85.0</v>
      </c>
      <c r="E16" s="53">
        <v>85.0</v>
      </c>
      <c r="F16" s="53">
        <v>7.7</v>
      </c>
      <c r="G16" s="53">
        <v>10.5</v>
      </c>
      <c r="H16" s="44"/>
      <c r="I16" s="44">
        <f>5.5+1.66+3.5</f>
        <v>10.66</v>
      </c>
      <c r="J16" s="44"/>
      <c r="K16" s="53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53">
        <v>33.0</v>
      </c>
      <c r="W16" s="46"/>
      <c r="X16" s="44">
        <f t="shared" si="1"/>
        <v>205.86</v>
      </c>
      <c r="Y16" s="44"/>
      <c r="Z16" s="44"/>
      <c r="AA16" s="44">
        <f t="shared" si="2"/>
        <v>133.14</v>
      </c>
      <c r="AB16" s="44"/>
      <c r="AC16" s="44">
        <f t="shared" si="3"/>
        <v>1089.8</v>
      </c>
      <c r="AD16" s="62">
        <v>690.0</v>
      </c>
    </row>
    <row r="17" ht="14.25" customHeight="1">
      <c r="A17" s="47">
        <v>45946.0</v>
      </c>
      <c r="B17" s="53">
        <v>353.4</v>
      </c>
      <c r="C17" s="53">
        <v>7.0</v>
      </c>
      <c r="D17" s="53">
        <v>70.0</v>
      </c>
      <c r="E17" s="44"/>
      <c r="F17" s="53">
        <v>7.0</v>
      </c>
      <c r="G17" s="44">
        <f>12+6+25</f>
        <v>43</v>
      </c>
      <c r="H17" s="44"/>
      <c r="I17" s="44">
        <f>2.1+2.1+2.46</f>
        <v>6.66</v>
      </c>
      <c r="J17" s="44"/>
      <c r="K17" s="44"/>
      <c r="L17" s="53"/>
      <c r="M17" s="44"/>
      <c r="N17" s="44"/>
      <c r="O17" s="44"/>
      <c r="P17" s="44"/>
      <c r="Q17" s="44"/>
      <c r="R17" s="44"/>
      <c r="S17" s="44"/>
      <c r="T17" s="44"/>
      <c r="U17" s="44"/>
      <c r="V17" s="53">
        <v>26.0</v>
      </c>
      <c r="W17" s="46"/>
      <c r="X17" s="44">
        <f t="shared" si="1"/>
        <v>133.66</v>
      </c>
      <c r="Y17" s="44"/>
      <c r="Z17" s="44"/>
      <c r="AA17" s="44">
        <f t="shared" si="2"/>
        <v>219.74</v>
      </c>
      <c r="AB17" s="44"/>
      <c r="AC17" s="44">
        <f t="shared" si="3"/>
        <v>1309.54</v>
      </c>
      <c r="AD17" s="60"/>
    </row>
    <row r="18" ht="14.25" customHeight="1">
      <c r="A18" s="47">
        <v>45947.0</v>
      </c>
      <c r="B18" s="53">
        <v>348.6</v>
      </c>
      <c r="C18" s="53">
        <v>7.0</v>
      </c>
      <c r="D18" s="53">
        <v>65.0</v>
      </c>
      <c r="E18" s="44"/>
      <c r="F18" s="53">
        <f>5.9</f>
        <v>5.9</v>
      </c>
      <c r="G18" s="53">
        <v>12.0</v>
      </c>
      <c r="H18" s="44"/>
      <c r="I18" s="44">
        <f>0.78</f>
        <v>0.78</v>
      </c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53">
        <v>17.0</v>
      </c>
      <c r="W18" s="46"/>
      <c r="X18" s="44">
        <f t="shared" si="1"/>
        <v>90.68</v>
      </c>
      <c r="Y18" s="44"/>
      <c r="Z18" s="44"/>
      <c r="AA18" s="44">
        <f t="shared" si="2"/>
        <v>257.92</v>
      </c>
      <c r="AB18" s="44"/>
      <c r="AC18" s="44">
        <f t="shared" si="3"/>
        <v>1567.46</v>
      </c>
      <c r="AD18" s="60"/>
    </row>
    <row r="19" ht="14.25" customHeight="1">
      <c r="A19" s="47">
        <v>45948.0</v>
      </c>
      <c r="B19" s="53">
        <v>308.8</v>
      </c>
      <c r="C19" s="53"/>
      <c r="D19" s="53">
        <v>85.0</v>
      </c>
      <c r="E19" s="44"/>
      <c r="F19" s="44">
        <f>10</f>
        <v>10</v>
      </c>
      <c r="G19" s="44">
        <f>15+6</f>
        <v>21</v>
      </c>
      <c r="H19" s="44"/>
      <c r="I19" s="44">
        <f>1.25</f>
        <v>1.25</v>
      </c>
      <c r="J19" s="44"/>
      <c r="K19" s="44"/>
      <c r="L19" s="44"/>
      <c r="M19" s="44"/>
      <c r="N19" s="44"/>
      <c r="O19" s="44"/>
      <c r="P19" s="53">
        <v>80.0</v>
      </c>
      <c r="Q19" s="44"/>
      <c r="R19" s="44"/>
      <c r="S19" s="44"/>
      <c r="T19" s="44"/>
      <c r="U19" s="44"/>
      <c r="V19" s="53">
        <v>20.0</v>
      </c>
      <c r="W19" s="54" t="s">
        <v>121</v>
      </c>
      <c r="X19" s="44">
        <f t="shared" si="1"/>
        <v>197.25</v>
      </c>
      <c r="Y19" s="44"/>
      <c r="Z19" s="44"/>
      <c r="AA19" s="44">
        <f t="shared" si="2"/>
        <v>111.55</v>
      </c>
      <c r="AB19" s="44"/>
      <c r="AC19" s="44">
        <f t="shared" si="3"/>
        <v>1679.01</v>
      </c>
      <c r="AD19" s="60"/>
    </row>
    <row r="20" ht="14.25" customHeight="1">
      <c r="A20" s="85">
        <v>45949.0</v>
      </c>
      <c r="B20" s="86">
        <v>513.6</v>
      </c>
      <c r="C20" s="86">
        <v>7.0</v>
      </c>
      <c r="D20" s="86">
        <v>70.0</v>
      </c>
      <c r="E20" s="87"/>
      <c r="F20" s="86">
        <v>10.6</v>
      </c>
      <c r="G20" s="86">
        <v>12.0</v>
      </c>
      <c r="H20" s="87"/>
      <c r="I20" s="87">
        <f>1.05+2.83</f>
        <v>3.88</v>
      </c>
      <c r="J20" s="87"/>
      <c r="K20" s="87"/>
      <c r="L20" s="87"/>
      <c r="M20" s="87"/>
      <c r="N20" s="87"/>
      <c r="O20" s="86">
        <v>5.0</v>
      </c>
      <c r="P20" s="87"/>
      <c r="Q20" s="87"/>
      <c r="R20" s="87"/>
      <c r="S20" s="87"/>
      <c r="T20" s="87"/>
      <c r="U20" s="87"/>
      <c r="V20" s="86">
        <v>36.0</v>
      </c>
      <c r="W20" s="55" t="s">
        <v>122</v>
      </c>
      <c r="X20" s="87">
        <f t="shared" si="1"/>
        <v>108.48</v>
      </c>
      <c r="Y20" s="87">
        <f>sum(B14:B20)</f>
        <v>2433.08</v>
      </c>
      <c r="Z20" s="87">
        <f>sum(X14:X20)</f>
        <v>949.4</v>
      </c>
      <c r="AA20" s="87">
        <f t="shared" si="2"/>
        <v>405.12</v>
      </c>
      <c r="AB20" s="87">
        <f>Y20-Z20</f>
        <v>1483.68</v>
      </c>
      <c r="AC20" s="50">
        <f t="shared" si="3"/>
        <v>2084.13</v>
      </c>
      <c r="AD20" s="61"/>
    </row>
    <row r="21" ht="14.25" customHeight="1">
      <c r="A21" s="47">
        <v>45950.0</v>
      </c>
      <c r="B21" s="53">
        <v>375.4</v>
      </c>
      <c r="C21" s="53">
        <v>7.0</v>
      </c>
      <c r="D21" s="53">
        <v>80.0</v>
      </c>
      <c r="E21" s="53">
        <v>85.0</v>
      </c>
      <c r="F21" s="53">
        <v>9.7</v>
      </c>
      <c r="G21" s="53">
        <v>20.0</v>
      </c>
      <c r="H21" s="44"/>
      <c r="I21" s="44">
        <f>1.8+2.1</f>
        <v>3.9</v>
      </c>
      <c r="J21" s="44"/>
      <c r="K21" s="44"/>
      <c r="L21" s="44"/>
      <c r="M21" s="44"/>
      <c r="N21" s="53"/>
      <c r="O21" s="53"/>
      <c r="P21" s="44"/>
      <c r="Q21" s="44"/>
      <c r="R21" s="44"/>
      <c r="S21" s="44"/>
      <c r="T21" s="44"/>
      <c r="U21" s="44"/>
      <c r="V21" s="53">
        <v>28.0</v>
      </c>
      <c r="W21" s="54"/>
      <c r="X21" s="44">
        <f t="shared" si="1"/>
        <v>205.6</v>
      </c>
      <c r="Y21" s="44"/>
      <c r="Z21" s="44"/>
      <c r="AA21" s="44">
        <f t="shared" si="2"/>
        <v>169.8</v>
      </c>
      <c r="AB21" s="44"/>
      <c r="AC21" s="44">
        <f t="shared" si="3"/>
        <v>2253.93</v>
      </c>
      <c r="AD21" s="60"/>
    </row>
    <row r="22" ht="14.25" customHeight="1">
      <c r="A22" s="47">
        <v>45951.0</v>
      </c>
      <c r="B22" s="53">
        <f>473.6+253.57</f>
        <v>727.17</v>
      </c>
      <c r="C22" s="53">
        <v>7.0</v>
      </c>
      <c r="D22" s="53">
        <v>50.0</v>
      </c>
      <c r="E22" s="44"/>
      <c r="F22" s="53">
        <v>7.0</v>
      </c>
      <c r="G22" s="44"/>
      <c r="H22" s="44"/>
      <c r="I22" s="53">
        <v>3.0</v>
      </c>
      <c r="J22" s="44"/>
      <c r="K22" s="53">
        <v>6.0</v>
      </c>
      <c r="L22" s="44"/>
      <c r="M22" s="44"/>
      <c r="N22" s="44"/>
      <c r="O22" s="53">
        <v>20.0</v>
      </c>
      <c r="P22" s="44"/>
      <c r="Q22" s="44"/>
      <c r="R22" s="44"/>
      <c r="S22" s="44"/>
      <c r="T22" s="44"/>
      <c r="U22" s="44"/>
      <c r="V22" s="53">
        <v>29.0</v>
      </c>
      <c r="W22" s="46"/>
      <c r="X22" s="44">
        <f t="shared" si="1"/>
        <v>93</v>
      </c>
      <c r="Y22" s="44"/>
      <c r="Z22" s="44"/>
      <c r="AA22" s="44">
        <f t="shared" si="2"/>
        <v>634.17</v>
      </c>
      <c r="AB22" s="44"/>
      <c r="AC22" s="44">
        <f t="shared" si="3"/>
        <v>2888.1</v>
      </c>
      <c r="AD22" s="60"/>
    </row>
    <row r="23" ht="14.25" customHeight="1">
      <c r="A23" s="47">
        <v>45952.0</v>
      </c>
      <c r="B23" s="53">
        <v>388.2</v>
      </c>
      <c r="C23" s="53">
        <v>7.0</v>
      </c>
      <c r="D23" s="53">
        <v>60.0</v>
      </c>
      <c r="E23" s="53">
        <v>75.0</v>
      </c>
      <c r="F23" s="53">
        <v>16.0</v>
      </c>
      <c r="G23" s="44"/>
      <c r="H23" s="44"/>
      <c r="I23" s="53">
        <v>2.0</v>
      </c>
      <c r="J23" s="44"/>
      <c r="K23" s="53">
        <v>11.59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53">
        <v>17.0</v>
      </c>
      <c r="W23" s="46"/>
      <c r="X23" s="44">
        <f t="shared" si="1"/>
        <v>171.59</v>
      </c>
      <c r="Y23" s="44"/>
      <c r="Z23" s="44"/>
      <c r="AA23" s="44">
        <f t="shared" si="2"/>
        <v>216.61</v>
      </c>
      <c r="AB23" s="44"/>
      <c r="AC23" s="44">
        <f t="shared" si="3"/>
        <v>3104.71</v>
      </c>
      <c r="AD23" s="60"/>
    </row>
    <row r="24" ht="14.25" customHeight="1">
      <c r="A24" s="47">
        <v>45953.0</v>
      </c>
      <c r="B24" s="53">
        <v>282.4</v>
      </c>
      <c r="C24" s="53">
        <v>7.0</v>
      </c>
      <c r="D24" s="53">
        <v>75.0</v>
      </c>
      <c r="E24" s="53"/>
      <c r="F24" s="44">
        <f>7</f>
        <v>7</v>
      </c>
      <c r="G24" s="44">
        <f>10+6</f>
        <v>16</v>
      </c>
      <c r="H24" s="44"/>
      <c r="I24" s="44"/>
      <c r="J24" s="44"/>
      <c r="K24" s="53">
        <v>10.35</v>
      </c>
      <c r="L24" s="44"/>
      <c r="M24" s="44"/>
      <c r="N24" s="44"/>
      <c r="O24" s="53"/>
      <c r="P24" s="44"/>
      <c r="Q24" s="44"/>
      <c r="R24" s="44"/>
      <c r="S24" s="44"/>
      <c r="T24" s="44"/>
      <c r="U24" s="44"/>
      <c r="V24" s="53">
        <v>22.0</v>
      </c>
      <c r="W24" s="54"/>
      <c r="X24" s="44">
        <f t="shared" si="1"/>
        <v>115.35</v>
      </c>
      <c r="Y24" s="44"/>
      <c r="Z24" s="44"/>
      <c r="AA24" s="44">
        <f t="shared" si="2"/>
        <v>167.05</v>
      </c>
      <c r="AB24" s="44"/>
      <c r="AC24" s="44">
        <f t="shared" si="3"/>
        <v>3271.76</v>
      </c>
      <c r="AD24" s="60"/>
    </row>
    <row r="25" ht="14.25" customHeight="1">
      <c r="A25" s="47">
        <v>45954.0</v>
      </c>
      <c r="B25" s="53">
        <v>425.2</v>
      </c>
      <c r="C25" s="53">
        <v>7.0</v>
      </c>
      <c r="D25" s="53">
        <v>50.0</v>
      </c>
      <c r="E25" s="44"/>
      <c r="F25" s="53">
        <v>6.0</v>
      </c>
      <c r="G25" s="44"/>
      <c r="H25" s="44"/>
      <c r="I25" s="53">
        <v>2.5</v>
      </c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53">
        <v>29.0</v>
      </c>
      <c r="W25" s="46"/>
      <c r="X25" s="44">
        <f t="shared" si="1"/>
        <v>65.5</v>
      </c>
      <c r="Y25" s="44"/>
      <c r="Z25" s="44"/>
      <c r="AA25" s="44">
        <f t="shared" si="2"/>
        <v>359.7</v>
      </c>
      <c r="AB25" s="44"/>
      <c r="AC25" s="44">
        <f t="shared" si="3"/>
        <v>3631.46</v>
      </c>
      <c r="AD25" s="62">
        <v>2300.0</v>
      </c>
    </row>
    <row r="26" ht="14.25" customHeight="1">
      <c r="A26" s="47">
        <v>45955.0</v>
      </c>
      <c r="B26" s="53">
        <v>381.4</v>
      </c>
      <c r="C26" s="53">
        <v>7.0</v>
      </c>
      <c r="D26" s="53">
        <v>50.0</v>
      </c>
      <c r="E26" s="53">
        <v>50.0</v>
      </c>
      <c r="F26" s="53">
        <v>11.5</v>
      </c>
      <c r="G26" s="44"/>
      <c r="H26" s="44"/>
      <c r="I26" s="53">
        <v>2.71</v>
      </c>
      <c r="J26" s="44"/>
      <c r="K26" s="53">
        <f>9+9.9</f>
        <v>18.9</v>
      </c>
      <c r="L26" s="53"/>
      <c r="M26" s="44"/>
      <c r="N26" s="44"/>
      <c r="O26" s="44"/>
      <c r="P26" s="44"/>
      <c r="Q26" s="44"/>
      <c r="R26" s="44"/>
      <c r="S26" s="44"/>
      <c r="T26" s="44"/>
      <c r="U26" s="44"/>
      <c r="V26" s="53">
        <v>33.0</v>
      </c>
      <c r="W26" s="54"/>
      <c r="X26" s="44">
        <f t="shared" si="1"/>
        <v>140.11</v>
      </c>
      <c r="Y26" s="44"/>
      <c r="Z26" s="44"/>
      <c r="AA26" s="44">
        <f t="shared" si="2"/>
        <v>241.29</v>
      </c>
      <c r="AB26" s="44"/>
      <c r="AC26" s="44">
        <f t="shared" si="3"/>
        <v>3872.75</v>
      </c>
      <c r="AD26" s="60"/>
    </row>
    <row r="27" ht="14.25" customHeight="1">
      <c r="A27" s="48">
        <v>45956.0</v>
      </c>
      <c r="B27" s="51">
        <v>258.2</v>
      </c>
      <c r="C27" s="51">
        <v>7.0</v>
      </c>
      <c r="D27" s="51">
        <v>50.0</v>
      </c>
      <c r="E27" s="51">
        <v>60.0</v>
      </c>
      <c r="F27" s="51">
        <v>8.0</v>
      </c>
      <c r="G27" s="51">
        <v>13.4</v>
      </c>
      <c r="H27" s="50"/>
      <c r="I27" s="50"/>
      <c r="J27" s="50"/>
      <c r="K27" s="51">
        <v>9.7</v>
      </c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1">
        <v>25.0</v>
      </c>
      <c r="W27" s="52"/>
      <c r="X27" s="50">
        <f t="shared" si="1"/>
        <v>148.1</v>
      </c>
      <c r="Y27" s="50">
        <f>sum(B21:B27)</f>
        <v>2837.97</v>
      </c>
      <c r="Z27" s="50">
        <f>sum(X21:X27)</f>
        <v>939.25</v>
      </c>
      <c r="AA27" s="50">
        <f t="shared" si="2"/>
        <v>110.1</v>
      </c>
      <c r="AB27" s="50">
        <f>Y27-Z27</f>
        <v>1898.72</v>
      </c>
      <c r="AC27" s="50">
        <f t="shared" si="3"/>
        <v>3982.85</v>
      </c>
      <c r="AD27" s="61"/>
    </row>
    <row r="28" ht="14.25" customHeight="1">
      <c r="A28" s="47">
        <v>45957.0</v>
      </c>
      <c r="B28" s="53">
        <v>304.0</v>
      </c>
      <c r="C28" s="53">
        <v>7.0</v>
      </c>
      <c r="D28" s="53">
        <v>50.0</v>
      </c>
      <c r="E28" s="44"/>
      <c r="F28" s="53">
        <v>7.0</v>
      </c>
      <c r="G28" s="44"/>
      <c r="H28" s="44"/>
      <c r="I28" s="53">
        <v>5.08</v>
      </c>
      <c r="J28" s="44"/>
      <c r="K28" s="44">
        <f>13+10.5</f>
        <v>23.5</v>
      </c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53">
        <v>14.0</v>
      </c>
      <c r="W28" s="46"/>
      <c r="X28" s="44">
        <f t="shared" si="1"/>
        <v>92.58</v>
      </c>
      <c r="Y28" s="44"/>
      <c r="Z28" s="44"/>
      <c r="AA28" s="44">
        <f t="shared" si="2"/>
        <v>211.42</v>
      </c>
      <c r="AB28" s="44"/>
      <c r="AC28" s="44">
        <f t="shared" si="3"/>
        <v>4194.27</v>
      </c>
      <c r="AD28" s="60"/>
    </row>
    <row r="29" ht="14.25" customHeight="1">
      <c r="A29" s="47">
        <v>45958.0</v>
      </c>
      <c r="B29" s="53">
        <v>636.54</v>
      </c>
      <c r="C29" s="53">
        <v>7.0</v>
      </c>
      <c r="D29" s="53">
        <v>70.0</v>
      </c>
      <c r="E29" s="44"/>
      <c r="F29" s="53">
        <f>14.5+11.5</f>
        <v>26</v>
      </c>
      <c r="G29" s="44"/>
      <c r="H29" s="44"/>
      <c r="I29" s="53">
        <v>3.2</v>
      </c>
      <c r="J29" s="44"/>
      <c r="K29" s="53">
        <f>2.9+9.4</f>
        <v>12.3</v>
      </c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53">
        <v>32.0</v>
      </c>
      <c r="W29" s="46"/>
      <c r="X29" s="44">
        <f t="shared" si="1"/>
        <v>118.5</v>
      </c>
      <c r="Y29" s="44"/>
      <c r="Z29" s="44"/>
      <c r="AA29" s="44">
        <f t="shared" si="2"/>
        <v>518.04</v>
      </c>
      <c r="AB29" s="44"/>
      <c r="AC29" s="44">
        <f t="shared" si="3"/>
        <v>4712.31</v>
      </c>
      <c r="AD29" s="60"/>
    </row>
    <row r="30" ht="14.25" customHeight="1">
      <c r="A30" s="47">
        <v>45959.0</v>
      </c>
      <c r="B30" s="53">
        <v>319.1</v>
      </c>
      <c r="C30" s="53">
        <v>7.0</v>
      </c>
      <c r="D30" s="53">
        <v>60.0</v>
      </c>
      <c r="E30" s="53">
        <v>85.0</v>
      </c>
      <c r="F30" s="53">
        <f>15.5+5+3</f>
        <v>23.5</v>
      </c>
      <c r="G30" s="53">
        <v>19.0</v>
      </c>
      <c r="H30" s="44"/>
      <c r="I30" s="44">
        <f>2.3+2+6.07</f>
        <v>10.37</v>
      </c>
      <c r="J30" s="44"/>
      <c r="K30" s="44"/>
      <c r="L30" s="44"/>
      <c r="M30" s="44"/>
      <c r="N30" s="44"/>
      <c r="O30" s="53">
        <v>4.0</v>
      </c>
      <c r="P30" s="44"/>
      <c r="Q30" s="44"/>
      <c r="R30" s="44"/>
      <c r="S30" s="44"/>
      <c r="T30" s="44"/>
      <c r="U30" s="44"/>
      <c r="V30" s="53">
        <v>25.0</v>
      </c>
      <c r="W30" s="46"/>
      <c r="X30" s="44">
        <f t="shared" si="1"/>
        <v>208.87</v>
      </c>
      <c r="Y30" s="44"/>
      <c r="Z30" s="44"/>
      <c r="AA30" s="44">
        <f t="shared" si="2"/>
        <v>110.23</v>
      </c>
      <c r="AB30" s="44"/>
      <c r="AC30" s="44">
        <f t="shared" si="3"/>
        <v>4822.54</v>
      </c>
      <c r="AD30" s="60"/>
    </row>
    <row r="31" ht="14.25" customHeight="1">
      <c r="A31" s="47">
        <v>45960.0</v>
      </c>
      <c r="B31" s="53">
        <v>342.3</v>
      </c>
      <c r="C31" s="53">
        <v>7.0</v>
      </c>
      <c r="D31" s="53">
        <v>75.0</v>
      </c>
      <c r="E31" s="44"/>
      <c r="F31" s="44">
        <f>19</f>
        <v>19</v>
      </c>
      <c r="G31" s="44">
        <f>7+4</f>
        <v>11</v>
      </c>
      <c r="H31" s="44"/>
      <c r="I31" s="44">
        <f>4+2.3+0.6+5.66</f>
        <v>12.56</v>
      </c>
      <c r="J31" s="44"/>
      <c r="K31" s="53">
        <v>3.3</v>
      </c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53">
        <v>27.0</v>
      </c>
      <c r="W31" s="46"/>
      <c r="X31" s="44">
        <f t="shared" si="1"/>
        <v>127.86</v>
      </c>
      <c r="Y31" s="44"/>
      <c r="Z31" s="44"/>
      <c r="AA31" s="44">
        <f t="shared" si="2"/>
        <v>214.44</v>
      </c>
      <c r="AB31" s="44"/>
      <c r="AC31" s="44">
        <f t="shared" si="3"/>
        <v>5036.98</v>
      </c>
      <c r="AD31" s="60"/>
    </row>
    <row r="32" ht="14.25" customHeight="1">
      <c r="A32" s="47">
        <v>45961.0</v>
      </c>
      <c r="B32" s="53">
        <v>244.7</v>
      </c>
      <c r="C32" s="53">
        <v>7.0</v>
      </c>
      <c r="D32" s="53">
        <v>80.0</v>
      </c>
      <c r="E32" s="44"/>
      <c r="F32" s="53">
        <v>7.7</v>
      </c>
      <c r="G32" s="44">
        <f>12+6+4.5</f>
        <v>22.5</v>
      </c>
      <c r="H32" s="44"/>
      <c r="I32" s="44">
        <f>1.85+2.71</f>
        <v>4.56</v>
      </c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53">
        <v>14.0</v>
      </c>
      <c r="W32" s="46"/>
      <c r="X32" s="44">
        <f t="shared" si="1"/>
        <v>121.76</v>
      </c>
      <c r="Y32" s="44">
        <f>sum(B28:B32)</f>
        <v>1846.64</v>
      </c>
      <c r="Z32" s="44">
        <f>sum(X28:X32)</f>
        <v>669.57</v>
      </c>
      <c r="AA32" s="44">
        <f t="shared" si="2"/>
        <v>122.94</v>
      </c>
      <c r="AB32" s="44">
        <f>Y32-Z32</f>
        <v>1177.07</v>
      </c>
      <c r="AC32" s="44">
        <f t="shared" si="3"/>
        <v>5159.92</v>
      </c>
      <c r="AD32" s="60"/>
    </row>
    <row r="33" ht="14.2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53"/>
      <c r="W33" s="46"/>
      <c r="X33" s="44"/>
      <c r="Y33" s="44"/>
      <c r="Z33" s="44"/>
      <c r="AA33" s="44"/>
      <c r="AB33" s="44"/>
      <c r="AC33" s="44"/>
      <c r="AD33" s="60"/>
    </row>
    <row r="34" ht="14.25" customHeight="1">
      <c r="A34" s="44" t="str">
        <f>count(B2:B32,"number")&amp;" "&amp;"/"&amp;" "&amp;countif(B2:B32,"")</f>
        <v>31 / 0</v>
      </c>
      <c r="B34" s="44">
        <f t="shared" ref="B34:U34" si="4">SUM(B2:B33)</f>
        <v>10703.39</v>
      </c>
      <c r="C34" s="44">
        <f t="shared" si="4"/>
        <v>210</v>
      </c>
      <c r="D34" s="44">
        <f t="shared" si="4"/>
        <v>1940</v>
      </c>
      <c r="E34" s="44">
        <f t="shared" si="4"/>
        <v>440</v>
      </c>
      <c r="F34" s="44">
        <f t="shared" si="4"/>
        <v>491.15</v>
      </c>
      <c r="G34" s="44">
        <f t="shared" si="4"/>
        <v>308.7</v>
      </c>
      <c r="H34" s="44">
        <f t="shared" si="4"/>
        <v>440</v>
      </c>
      <c r="I34" s="44">
        <f t="shared" si="4"/>
        <v>139.65</v>
      </c>
      <c r="J34" s="44">
        <f t="shared" si="4"/>
        <v>416</v>
      </c>
      <c r="K34" s="44">
        <f t="shared" si="4"/>
        <v>419.59</v>
      </c>
      <c r="L34" s="44">
        <f t="shared" si="4"/>
        <v>0</v>
      </c>
      <c r="M34" s="44">
        <f t="shared" si="4"/>
        <v>0</v>
      </c>
      <c r="N34" s="44">
        <f t="shared" si="4"/>
        <v>0</v>
      </c>
      <c r="O34" s="44">
        <f t="shared" si="4"/>
        <v>39</v>
      </c>
      <c r="P34" s="44">
        <f t="shared" si="4"/>
        <v>90</v>
      </c>
      <c r="Q34" s="44">
        <f t="shared" si="4"/>
        <v>0</v>
      </c>
      <c r="R34" s="44">
        <f t="shared" si="4"/>
        <v>350</v>
      </c>
      <c r="S34" s="44">
        <f t="shared" si="4"/>
        <v>9.38</v>
      </c>
      <c r="T34" s="44">
        <f t="shared" si="4"/>
        <v>200</v>
      </c>
      <c r="U34" s="44">
        <f t="shared" si="4"/>
        <v>50</v>
      </c>
      <c r="V34" s="44"/>
      <c r="W34" s="46"/>
      <c r="X34" s="44">
        <f>SUM(X2:X33)</f>
        <v>5543.47</v>
      </c>
      <c r="Y34" s="44"/>
      <c r="Z34" s="44"/>
      <c r="AA34" s="44"/>
      <c r="AB34" s="44"/>
      <c r="AC34" s="44"/>
      <c r="AD34" s="60"/>
    </row>
    <row r="35" ht="14.25" customHeight="1">
      <c r="A35" s="57" t="s">
        <v>62</v>
      </c>
      <c r="B35" s="65">
        <f>B34-(C34+D34+E34+F34+G34+H34+I34+J34+K34+L34+M34+N34+O34+P34+Q34+R34+S34+T34+U34)</f>
        <v>5159.92</v>
      </c>
      <c r="C35" s="44"/>
      <c r="D35" s="44">
        <f>D34+E34</f>
        <v>2380</v>
      </c>
      <c r="F35" s="44">
        <f>G34+F34</f>
        <v>799.85</v>
      </c>
      <c r="H35" s="44"/>
      <c r="I35" s="44"/>
      <c r="J35" s="66" t="s">
        <v>80</v>
      </c>
      <c r="K35" s="67" t="s">
        <v>81</v>
      </c>
      <c r="L35" s="68" t="s">
        <v>82</v>
      </c>
      <c r="M35" s="69" t="s">
        <v>83</v>
      </c>
      <c r="N35" s="70" t="s">
        <v>84</v>
      </c>
      <c r="O35" s="71" t="s">
        <v>85</v>
      </c>
      <c r="P35" s="44"/>
      <c r="Q35" s="44"/>
      <c r="R35" s="44"/>
      <c r="S35" s="44"/>
      <c r="T35" s="44"/>
      <c r="U35" s="44"/>
      <c r="V35" s="44"/>
      <c r="W35" s="46" t="s">
        <v>63</v>
      </c>
      <c r="X35" s="46"/>
      <c r="Y35" s="46"/>
      <c r="Z35" s="46"/>
      <c r="AA35" s="46"/>
      <c r="AB35" s="59">
        <f>B35/B34</f>
        <v>0.4820827794</v>
      </c>
      <c r="AC35" s="59"/>
      <c r="AD35" s="60"/>
    </row>
  </sheetData>
  <mergeCells count="4">
    <mergeCell ref="D1:E1"/>
    <mergeCell ref="F1:G1"/>
    <mergeCell ref="D35:E35"/>
    <mergeCell ref="F35:G35"/>
  </mergeCells>
  <conditionalFormatting sqref="AC2:AC32">
    <cfRule type="cellIs" dxfId="2" priority="1" operator="lessThan">
      <formula>1000</formula>
    </cfRule>
  </conditionalFormatting>
  <conditionalFormatting sqref="AC2:AC32">
    <cfRule type="cellIs" dxfId="3" priority="2" operator="lessThan">
      <formula>2000</formula>
    </cfRule>
  </conditionalFormatting>
  <conditionalFormatting sqref="AC2:AC32">
    <cfRule type="cellIs" dxfId="4" priority="3" operator="lessThan">
      <formula>3000</formula>
    </cfRule>
  </conditionalFormatting>
  <conditionalFormatting sqref="AC2:AC32">
    <cfRule type="cellIs" dxfId="5" priority="4" operator="lessThan">
      <formula>4000</formula>
    </cfRule>
  </conditionalFormatting>
  <conditionalFormatting sqref="AC2:AC32">
    <cfRule type="cellIs" dxfId="6" priority="5" operator="lessThan">
      <formula>5000</formula>
    </cfRule>
  </conditionalFormatting>
  <conditionalFormatting sqref="AC2:AC32">
    <cfRule type="cellIs" dxfId="7" priority="6" operator="lessThan">
      <formula>6000</formula>
    </cfRule>
  </conditionalFormatting>
  <conditionalFormatting sqref="AC2:AC32">
    <cfRule type="cellIs" dxfId="8" priority="7" operator="greaterThan">
      <formula>6000</formula>
    </cfRule>
  </conditionalFormatting>
  <conditionalFormatting sqref="B2:B32">
    <cfRule type="cellIs" dxfId="9" priority="8" operator="between">
      <formula>0</formula>
      <formula>99.99</formula>
    </cfRule>
  </conditionalFormatting>
  <conditionalFormatting sqref="B2:B32">
    <cfRule type="cellIs" dxfId="3" priority="9" operator="between">
      <formula>100</formula>
      <formula>199.99</formula>
    </cfRule>
  </conditionalFormatting>
  <conditionalFormatting sqref="B2:B32">
    <cfRule type="cellIs" dxfId="10" priority="10" operator="between">
      <formula>200</formula>
      <formula>299.99</formula>
    </cfRule>
  </conditionalFormatting>
  <conditionalFormatting sqref="B2:B32">
    <cfRule type="cellIs" dxfId="5" priority="11" operator="between">
      <formula>300</formula>
      <formula>399.99</formula>
    </cfRule>
  </conditionalFormatting>
  <conditionalFormatting sqref="B2:B32">
    <cfRule type="cellIs" dxfId="6" priority="12" operator="between">
      <formula>400</formula>
      <formula>499.99</formula>
    </cfRule>
  </conditionalFormatting>
  <conditionalFormatting sqref="B2:B32">
    <cfRule type="cellIs" dxfId="7" priority="13" operator="greaterThan">
      <formula>500</formula>
    </cfRule>
  </conditionalFormatting>
  <conditionalFormatting sqref="AA2:AA32">
    <cfRule type="cellIs" dxfId="0" priority="14" operator="greaterThan">
      <formula>0</formula>
    </cfRule>
  </conditionalFormatting>
  <conditionalFormatting sqref="AA2:AA32">
    <cfRule type="cellIs" dxfId="11" priority="15" operator="lessThan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88"/>
    <col customWidth="1" min="2" max="2" width="10.75"/>
    <col customWidth="1" min="3" max="3" width="8.63"/>
    <col customWidth="1" min="4" max="5" width="8.25"/>
    <col customWidth="1" min="6" max="7" width="8.0"/>
    <col customWidth="1" min="8" max="9" width="7.63"/>
    <col customWidth="1" min="10" max="14" width="9.75"/>
    <col customWidth="1" min="15" max="21" width="7.63"/>
    <col customWidth="1" min="22" max="23" width="14.38"/>
    <col customWidth="1" min="24" max="24" width="9.38"/>
    <col customWidth="1" min="25" max="25" width="11.5"/>
    <col customWidth="1" min="26" max="30" width="9.38"/>
  </cols>
  <sheetData>
    <row r="1" ht="14.25" customHeight="1">
      <c r="A1" s="44" t="s">
        <v>53</v>
      </c>
      <c r="B1" s="44" t="s">
        <v>1</v>
      </c>
      <c r="C1" s="44" t="s">
        <v>16</v>
      </c>
      <c r="D1" s="44" t="s">
        <v>17</v>
      </c>
      <c r="F1" s="44" t="s">
        <v>18</v>
      </c>
      <c r="H1" s="44" t="s">
        <v>19</v>
      </c>
      <c r="I1" s="44" t="s">
        <v>20</v>
      </c>
      <c r="J1" s="44" t="s">
        <v>21</v>
      </c>
      <c r="K1" s="44" t="s">
        <v>22</v>
      </c>
      <c r="L1" s="44" t="s">
        <v>23</v>
      </c>
      <c r="M1" s="44" t="s">
        <v>24</v>
      </c>
      <c r="N1" s="44" t="s">
        <v>25</v>
      </c>
      <c r="O1" s="44" t="s">
        <v>26</v>
      </c>
      <c r="P1" s="44" t="s">
        <v>27</v>
      </c>
      <c r="Q1" s="44" t="s">
        <v>28</v>
      </c>
      <c r="R1" s="44" t="s">
        <v>29</v>
      </c>
      <c r="S1" s="44" t="s">
        <v>32</v>
      </c>
      <c r="T1" s="44" t="s">
        <v>34</v>
      </c>
      <c r="U1" s="44" t="s">
        <v>36</v>
      </c>
      <c r="V1" s="53" t="s">
        <v>40</v>
      </c>
      <c r="W1" s="46" t="s">
        <v>54</v>
      </c>
      <c r="X1" s="44" t="s">
        <v>2</v>
      </c>
      <c r="Y1" s="44" t="s">
        <v>55</v>
      </c>
      <c r="Z1" s="44" t="s">
        <v>56</v>
      </c>
      <c r="AA1" s="44" t="s">
        <v>57</v>
      </c>
      <c r="AB1" s="44" t="s">
        <v>58</v>
      </c>
      <c r="AC1" s="53" t="s">
        <v>78</v>
      </c>
      <c r="AD1" s="62" t="s">
        <v>46</v>
      </c>
    </row>
    <row r="2" ht="14.25" customHeight="1">
      <c r="A2" s="47">
        <v>45962.0</v>
      </c>
      <c r="B2" s="53">
        <v>308.7</v>
      </c>
      <c r="C2" s="53">
        <v>7.0</v>
      </c>
      <c r="D2" s="53"/>
      <c r="E2" s="53"/>
      <c r="F2" s="53">
        <v>12.5</v>
      </c>
      <c r="G2" s="53">
        <v>33.0</v>
      </c>
      <c r="H2" s="44"/>
      <c r="I2" s="44">
        <f>3.5+0.8</f>
        <v>4.3</v>
      </c>
      <c r="J2" s="44"/>
      <c r="K2" s="53">
        <v>7.3</v>
      </c>
      <c r="L2" s="53">
        <v>27.61</v>
      </c>
      <c r="M2" s="44"/>
      <c r="N2" s="44"/>
      <c r="O2" s="44"/>
      <c r="P2" s="44"/>
      <c r="Q2" s="44"/>
      <c r="R2" s="44"/>
      <c r="S2" s="44"/>
      <c r="T2" s="53">
        <v>200.0</v>
      </c>
      <c r="U2" s="53">
        <v>17.5</v>
      </c>
      <c r="V2" s="53">
        <v>21.0</v>
      </c>
      <c r="W2" s="54" t="s">
        <v>101</v>
      </c>
      <c r="X2" s="44">
        <f t="shared" ref="X2:X31" si="1">sum(C2:U2)</f>
        <v>309.21</v>
      </c>
      <c r="Y2" s="44"/>
      <c r="Z2" s="44"/>
      <c r="AA2" s="44">
        <f t="shared" ref="AA2:AA31" si="2">B2-X2</f>
        <v>-0.51</v>
      </c>
      <c r="AB2" s="44"/>
      <c r="AC2" s="44">
        <f>AA2</f>
        <v>-0.51</v>
      </c>
      <c r="AD2" s="62">
        <v>890.0</v>
      </c>
    </row>
    <row r="3" ht="14.25" customHeight="1">
      <c r="A3" s="48">
        <v>45963.0</v>
      </c>
      <c r="B3" s="51">
        <v>344.8</v>
      </c>
      <c r="C3" s="51">
        <v>7.0</v>
      </c>
      <c r="D3" s="51">
        <v>65.0</v>
      </c>
      <c r="E3" s="50"/>
      <c r="F3" s="51">
        <v>7.5</v>
      </c>
      <c r="G3" s="51">
        <v>14.0</v>
      </c>
      <c r="H3" s="50"/>
      <c r="I3" s="50">
        <f>2.1+2.71</f>
        <v>4.81</v>
      </c>
      <c r="J3" s="50"/>
      <c r="K3" s="51"/>
      <c r="L3" s="50"/>
      <c r="M3" s="50"/>
      <c r="N3" s="50"/>
      <c r="O3" s="50"/>
      <c r="P3" s="50"/>
      <c r="Q3" s="50"/>
      <c r="R3" s="50"/>
      <c r="S3" s="50"/>
      <c r="T3" s="50"/>
      <c r="U3" s="50"/>
      <c r="V3" s="51">
        <v>31.0</v>
      </c>
      <c r="W3" s="52"/>
      <c r="X3" s="50">
        <f t="shared" si="1"/>
        <v>98.31</v>
      </c>
      <c r="Y3" s="50">
        <f>sum(B2:B3)</f>
        <v>653.5</v>
      </c>
      <c r="Z3" s="50">
        <f>sum(X2:X3)</f>
        <v>407.52</v>
      </c>
      <c r="AA3" s="50">
        <f t="shared" si="2"/>
        <v>246.49</v>
      </c>
      <c r="AB3" s="50">
        <f>sum(AA2:AA3)</f>
        <v>245.98</v>
      </c>
      <c r="AC3" s="50">
        <f t="shared" ref="AC3:AC31" si="3">AC2+AA3</f>
        <v>245.98</v>
      </c>
      <c r="AD3" s="61"/>
    </row>
    <row r="4" ht="14.25" customHeight="1">
      <c r="A4" s="47">
        <v>45964.0</v>
      </c>
      <c r="B4" s="53">
        <f>249.6+198.1</f>
        <v>447.7</v>
      </c>
      <c r="C4" s="53">
        <v>7.0</v>
      </c>
      <c r="D4" s="53">
        <v>65.0</v>
      </c>
      <c r="E4" s="44"/>
      <c r="F4" s="53">
        <v>14.6</v>
      </c>
      <c r="G4" s="53">
        <v>10.0</v>
      </c>
      <c r="H4" s="44"/>
      <c r="I4" s="44">
        <f>2.1+2+3.94</f>
        <v>8.04</v>
      </c>
      <c r="J4" s="44"/>
      <c r="K4" s="53">
        <v>9.18</v>
      </c>
      <c r="L4" s="44"/>
      <c r="M4" s="44"/>
      <c r="N4" s="44"/>
      <c r="O4" s="44"/>
      <c r="P4" s="44"/>
      <c r="Q4" s="44"/>
      <c r="R4" s="44"/>
      <c r="S4" s="44"/>
      <c r="T4" s="44"/>
      <c r="U4" s="44"/>
      <c r="V4" s="53">
        <v>23.0</v>
      </c>
      <c r="W4" s="46"/>
      <c r="X4" s="44">
        <f t="shared" si="1"/>
        <v>113.82</v>
      </c>
      <c r="Y4" s="44"/>
      <c r="Z4" s="44"/>
      <c r="AA4" s="44">
        <f t="shared" si="2"/>
        <v>333.88</v>
      </c>
      <c r="AB4" s="44"/>
      <c r="AC4" s="44">
        <f t="shared" si="3"/>
        <v>579.86</v>
      </c>
      <c r="AD4" s="60"/>
    </row>
    <row r="5" ht="14.25" customHeight="1">
      <c r="A5" s="47">
        <v>45965.0</v>
      </c>
      <c r="B5" s="53">
        <v>316.2</v>
      </c>
      <c r="C5" s="53">
        <v>7.0</v>
      </c>
      <c r="D5" s="44"/>
      <c r="E5" s="44"/>
      <c r="F5" s="53">
        <v>14.3</v>
      </c>
      <c r="G5" s="53">
        <v>10.0</v>
      </c>
      <c r="H5" s="44"/>
      <c r="I5" s="53">
        <v>3.2</v>
      </c>
      <c r="J5" s="44"/>
      <c r="K5" s="44"/>
      <c r="L5" s="44"/>
      <c r="M5" s="44"/>
      <c r="N5" s="44"/>
      <c r="O5" s="44"/>
      <c r="P5" s="44"/>
      <c r="Q5" s="44"/>
      <c r="R5" s="53"/>
      <c r="S5" s="44"/>
      <c r="T5" s="44"/>
      <c r="U5" s="41"/>
      <c r="V5" s="53">
        <v>23.0</v>
      </c>
      <c r="W5" s="46"/>
      <c r="X5" s="44">
        <f t="shared" si="1"/>
        <v>34.5</v>
      </c>
      <c r="Y5" s="44"/>
      <c r="Z5" s="44"/>
      <c r="AA5" s="44">
        <f t="shared" si="2"/>
        <v>281.7</v>
      </c>
      <c r="AB5" s="44"/>
      <c r="AC5" s="44">
        <f t="shared" si="3"/>
        <v>861.56</v>
      </c>
      <c r="AD5" s="60"/>
    </row>
    <row r="6" ht="14.25" customHeight="1">
      <c r="A6" s="47">
        <v>45966.0</v>
      </c>
      <c r="B6" s="53">
        <v>233.0</v>
      </c>
      <c r="C6" s="53">
        <v>7.0</v>
      </c>
      <c r="D6" s="53">
        <v>65.0</v>
      </c>
      <c r="E6" s="44"/>
      <c r="F6" s="53">
        <v>7.5</v>
      </c>
      <c r="G6" s="44">
        <f>10+3</f>
        <v>13</v>
      </c>
      <c r="H6" s="44"/>
      <c r="I6" s="53">
        <v>5.49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3">
        <v>16.0</v>
      </c>
      <c r="W6" s="46"/>
      <c r="X6" s="44">
        <f t="shared" si="1"/>
        <v>97.99</v>
      </c>
      <c r="Y6" s="44"/>
      <c r="Z6" s="44"/>
      <c r="AA6" s="44">
        <f t="shared" si="2"/>
        <v>135.01</v>
      </c>
      <c r="AB6" s="44"/>
      <c r="AC6" s="44">
        <f t="shared" si="3"/>
        <v>996.57</v>
      </c>
      <c r="AD6" s="60"/>
    </row>
    <row r="7" ht="14.25" customHeight="1">
      <c r="A7" s="47">
        <v>45967.0</v>
      </c>
      <c r="B7" s="53">
        <v>312.2</v>
      </c>
      <c r="C7" s="53">
        <v>7.0</v>
      </c>
      <c r="D7" s="53">
        <v>65.0</v>
      </c>
      <c r="E7" s="44"/>
      <c r="F7" s="44">
        <f>7.5+2+10</f>
        <v>19.5</v>
      </c>
      <c r="G7" s="44"/>
      <c r="H7" s="44"/>
      <c r="I7" s="53">
        <v>3.2</v>
      </c>
      <c r="J7" s="44"/>
      <c r="K7" s="44"/>
      <c r="L7" s="44"/>
      <c r="M7" s="44"/>
      <c r="N7" s="44"/>
      <c r="O7" s="44"/>
      <c r="P7" s="44"/>
      <c r="Q7" s="44"/>
      <c r="R7" s="53">
        <v>350.0</v>
      </c>
      <c r="S7" s="44"/>
      <c r="T7" s="44"/>
      <c r="U7" s="53">
        <v>9.95</v>
      </c>
      <c r="V7" s="53">
        <v>25.0</v>
      </c>
      <c r="W7" s="46"/>
      <c r="X7" s="44">
        <f t="shared" si="1"/>
        <v>454.65</v>
      </c>
      <c r="Y7" s="44"/>
      <c r="Z7" s="44"/>
      <c r="AA7" s="44">
        <f t="shared" si="2"/>
        <v>-142.45</v>
      </c>
      <c r="AB7" s="44"/>
      <c r="AC7" s="44">
        <f t="shared" si="3"/>
        <v>854.12</v>
      </c>
      <c r="AD7" s="60"/>
    </row>
    <row r="8" ht="14.25" customHeight="1">
      <c r="A8" s="47">
        <v>45968.0</v>
      </c>
      <c r="B8" s="53">
        <v>347.2</v>
      </c>
      <c r="C8" s="53">
        <v>7.0</v>
      </c>
      <c r="D8" s="53">
        <v>55.0</v>
      </c>
      <c r="E8" s="44"/>
      <c r="F8" s="53">
        <v>18.5</v>
      </c>
      <c r="G8" s="44"/>
      <c r="H8" s="44"/>
      <c r="I8" s="53">
        <v>2.71</v>
      </c>
      <c r="J8" s="44"/>
      <c r="K8" s="44"/>
      <c r="L8" s="44"/>
      <c r="M8" s="44"/>
      <c r="N8" s="53"/>
      <c r="O8" s="44">
        <f>5+2</f>
        <v>7</v>
      </c>
      <c r="P8" s="44"/>
      <c r="Q8" s="44"/>
      <c r="R8" s="44"/>
      <c r="S8" s="53">
        <v>10.0</v>
      </c>
      <c r="T8" s="44"/>
      <c r="U8" s="44"/>
      <c r="V8" s="53">
        <v>28.0</v>
      </c>
      <c r="W8" s="54"/>
      <c r="X8" s="44">
        <f t="shared" si="1"/>
        <v>100.21</v>
      </c>
      <c r="Y8" s="44"/>
      <c r="Z8" s="44"/>
      <c r="AA8" s="44">
        <f t="shared" si="2"/>
        <v>246.99</v>
      </c>
      <c r="AB8" s="44"/>
      <c r="AC8" s="44">
        <f t="shared" si="3"/>
        <v>1101.11</v>
      </c>
      <c r="AD8" s="60"/>
    </row>
    <row r="9" ht="14.25" customHeight="1">
      <c r="A9" s="47">
        <v>45969.0</v>
      </c>
      <c r="B9" s="53">
        <f>299.8</f>
        <v>299.8</v>
      </c>
      <c r="C9" s="53">
        <v>7.0</v>
      </c>
      <c r="D9" s="44"/>
      <c r="E9" s="44"/>
      <c r="F9" s="53">
        <v>6.0</v>
      </c>
      <c r="G9" s="53">
        <v>8.9</v>
      </c>
      <c r="H9" s="44"/>
      <c r="I9" s="53">
        <v>7.0</v>
      </c>
      <c r="J9" s="44"/>
      <c r="K9" s="53">
        <v>22.5</v>
      </c>
      <c r="L9" s="44"/>
      <c r="M9" s="44"/>
      <c r="O9" s="44"/>
      <c r="P9" s="44"/>
      <c r="Q9" s="44"/>
      <c r="R9" s="44"/>
      <c r="S9" s="44"/>
      <c r="T9" s="44"/>
      <c r="U9" s="53">
        <v>38.66</v>
      </c>
      <c r="V9" s="53">
        <v>20.0</v>
      </c>
      <c r="W9" s="54" t="s">
        <v>123</v>
      </c>
      <c r="X9" s="44">
        <f t="shared" si="1"/>
        <v>90.06</v>
      </c>
      <c r="Y9" s="44"/>
      <c r="Z9" s="44"/>
      <c r="AA9" s="44">
        <f t="shared" si="2"/>
        <v>209.74</v>
      </c>
      <c r="AB9" s="44"/>
      <c r="AC9" s="44">
        <f t="shared" si="3"/>
        <v>1310.85</v>
      </c>
      <c r="AD9" s="62">
        <v>1420.0</v>
      </c>
    </row>
    <row r="10" ht="14.25" customHeight="1">
      <c r="A10" s="48">
        <v>45970.0</v>
      </c>
      <c r="B10" s="51">
        <f>340.1</f>
        <v>340.1</v>
      </c>
      <c r="C10" s="51">
        <v>7.0</v>
      </c>
      <c r="D10" s="51">
        <v>65.0</v>
      </c>
      <c r="E10" s="50"/>
      <c r="F10" s="51">
        <v>10.0</v>
      </c>
      <c r="G10" s="51">
        <v>11.9</v>
      </c>
      <c r="H10" s="50"/>
      <c r="I10" s="50"/>
      <c r="J10" s="50"/>
      <c r="K10" s="50"/>
      <c r="L10" s="51"/>
      <c r="M10" s="50"/>
      <c r="N10" s="50"/>
      <c r="O10" s="50"/>
      <c r="P10" s="50"/>
      <c r="Q10" s="50"/>
      <c r="R10" s="50"/>
      <c r="S10" s="50"/>
      <c r="T10" s="50"/>
      <c r="U10" s="50"/>
      <c r="V10" s="51">
        <v>23.0</v>
      </c>
      <c r="W10" s="55"/>
      <c r="X10" s="50">
        <f t="shared" si="1"/>
        <v>93.9</v>
      </c>
      <c r="Y10" s="50">
        <f>sum(B4:B10)</f>
        <v>2296.2</v>
      </c>
      <c r="Z10" s="50">
        <f>sum(X4:X10)</f>
        <v>985.13</v>
      </c>
      <c r="AA10" s="50">
        <f t="shared" si="2"/>
        <v>246.2</v>
      </c>
      <c r="AB10" s="50">
        <f>sum(AA4:AA10)</f>
        <v>1311.07</v>
      </c>
      <c r="AC10" s="50">
        <f t="shared" si="3"/>
        <v>1557.05</v>
      </c>
      <c r="AD10" s="61"/>
    </row>
    <row r="11" ht="14.25" customHeight="1">
      <c r="A11" s="47">
        <v>45971.0</v>
      </c>
      <c r="B11" s="53">
        <f>226.4+282.5</f>
        <v>508.9</v>
      </c>
      <c r="C11" s="53">
        <v>7.0</v>
      </c>
      <c r="D11" s="53">
        <v>65.0</v>
      </c>
      <c r="E11" s="44"/>
      <c r="F11" s="53">
        <v>59.6</v>
      </c>
      <c r="G11" s="53"/>
      <c r="H11" s="44"/>
      <c r="I11" s="44"/>
      <c r="J11" s="44"/>
      <c r="K11" s="53">
        <v>6.8</v>
      </c>
      <c r="L11" s="53"/>
      <c r="M11" s="44"/>
      <c r="N11" s="44"/>
      <c r="O11" s="44"/>
      <c r="P11" s="44"/>
      <c r="Q11" s="44"/>
      <c r="R11" s="44"/>
      <c r="S11" s="44"/>
      <c r="T11" s="44"/>
      <c r="U11" s="44"/>
      <c r="V11" s="53">
        <v>20.0</v>
      </c>
      <c r="W11" s="54" t="s">
        <v>124</v>
      </c>
      <c r="X11" s="44">
        <f t="shared" si="1"/>
        <v>138.4</v>
      </c>
      <c r="Y11" s="44"/>
      <c r="Z11" s="44"/>
      <c r="AA11" s="44">
        <f t="shared" si="2"/>
        <v>370.5</v>
      </c>
      <c r="AB11" s="44"/>
      <c r="AC11" s="44">
        <f t="shared" si="3"/>
        <v>1927.55</v>
      </c>
      <c r="AD11" s="60"/>
    </row>
    <row r="12" ht="14.25" customHeight="1">
      <c r="A12" s="47">
        <v>45972.0</v>
      </c>
      <c r="B12" s="53"/>
      <c r="C12" s="44"/>
      <c r="D12" s="53">
        <v>75.0</v>
      </c>
      <c r="E12" s="44"/>
      <c r="F12" s="53">
        <v>13.0</v>
      </c>
      <c r="G12" s="44">
        <f>8+3</f>
        <v>11</v>
      </c>
      <c r="H12" s="53">
        <v>220.0</v>
      </c>
      <c r="I12" s="44"/>
      <c r="J12" s="44"/>
      <c r="K12" s="53">
        <v>17.1</v>
      </c>
      <c r="L12" s="53"/>
      <c r="M12" s="44"/>
      <c r="N12" s="44"/>
      <c r="O12" s="44"/>
      <c r="P12" s="44"/>
      <c r="Q12" s="44"/>
      <c r="R12" s="44"/>
      <c r="S12" s="44"/>
      <c r="T12" s="44"/>
      <c r="U12" s="53">
        <v>22.69</v>
      </c>
      <c r="V12" s="44"/>
      <c r="W12" s="54" t="s">
        <v>125</v>
      </c>
      <c r="X12" s="44">
        <f t="shared" si="1"/>
        <v>358.79</v>
      </c>
      <c r="Y12" s="44"/>
      <c r="Z12" s="44"/>
      <c r="AA12" s="44">
        <f t="shared" si="2"/>
        <v>-358.79</v>
      </c>
      <c r="AB12" s="44"/>
      <c r="AC12" s="44">
        <f t="shared" si="3"/>
        <v>1568.76</v>
      </c>
      <c r="AD12" s="60"/>
    </row>
    <row r="13" ht="14.25" customHeight="1">
      <c r="A13" s="47">
        <v>45973.0</v>
      </c>
      <c r="B13" s="53"/>
      <c r="C13" s="44"/>
      <c r="D13" s="44"/>
      <c r="E13" s="44"/>
      <c r="F13" s="53">
        <v>13.5</v>
      </c>
      <c r="G13" s="53">
        <v>12.5</v>
      </c>
      <c r="H13" s="44"/>
      <c r="I13" s="44">
        <f>3.5+9+2+3.5</f>
        <v>18</v>
      </c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53"/>
      <c r="V13" s="44"/>
      <c r="W13" s="46"/>
      <c r="X13" s="44">
        <f t="shared" si="1"/>
        <v>44</v>
      </c>
      <c r="Y13" s="44"/>
      <c r="Z13" s="44"/>
      <c r="AA13" s="44">
        <f t="shared" si="2"/>
        <v>-44</v>
      </c>
      <c r="AB13" s="44"/>
      <c r="AC13" s="44">
        <f t="shared" si="3"/>
        <v>1524.76</v>
      </c>
      <c r="AD13" s="60"/>
    </row>
    <row r="14" ht="14.25" customHeight="1">
      <c r="A14" s="47">
        <v>45974.0</v>
      </c>
      <c r="B14" s="53"/>
      <c r="C14" s="44"/>
      <c r="D14" s="53">
        <v>40.0</v>
      </c>
      <c r="E14" s="44"/>
      <c r="F14" s="44">
        <f>18</f>
        <v>18</v>
      </c>
      <c r="G14" s="44"/>
      <c r="H14" s="44"/>
      <c r="I14" s="44"/>
      <c r="J14" s="44"/>
      <c r="K14" s="44">
        <f>11.3+4.5</f>
        <v>15.8</v>
      </c>
      <c r="L14" s="53">
        <v>114.84</v>
      </c>
      <c r="M14" s="44"/>
      <c r="N14" s="44"/>
      <c r="O14" s="44"/>
      <c r="P14" s="53">
        <v>10.0</v>
      </c>
      <c r="Q14" s="44"/>
      <c r="R14" s="44"/>
      <c r="S14" s="44"/>
      <c r="T14" s="44"/>
      <c r="U14" s="53">
        <v>119.0</v>
      </c>
      <c r="V14" s="44"/>
      <c r="W14" s="54" t="s">
        <v>126</v>
      </c>
      <c r="X14" s="44">
        <f t="shared" si="1"/>
        <v>317.64</v>
      </c>
      <c r="Y14" s="44"/>
      <c r="Z14" s="44"/>
      <c r="AA14" s="44">
        <f t="shared" si="2"/>
        <v>-317.64</v>
      </c>
      <c r="AB14" s="44"/>
      <c r="AC14" s="44">
        <f t="shared" si="3"/>
        <v>1207.12</v>
      </c>
      <c r="AD14" s="60"/>
    </row>
    <row r="15" ht="14.25" customHeight="1">
      <c r="A15" s="47">
        <v>45975.0</v>
      </c>
      <c r="B15" s="53"/>
      <c r="C15" s="44"/>
      <c r="D15" s="44"/>
      <c r="E15" s="44"/>
      <c r="F15" s="44"/>
      <c r="G15" s="44"/>
      <c r="H15" s="44"/>
      <c r="I15" s="53">
        <v>26.89</v>
      </c>
      <c r="J15" s="44"/>
      <c r="K15" s="44"/>
      <c r="L15" s="53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54" t="s">
        <v>127</v>
      </c>
      <c r="X15" s="44">
        <f t="shared" si="1"/>
        <v>26.89</v>
      </c>
      <c r="Y15" s="44"/>
      <c r="Z15" s="44"/>
      <c r="AA15" s="44">
        <f t="shared" si="2"/>
        <v>-26.89</v>
      </c>
      <c r="AB15" s="44"/>
      <c r="AC15" s="44">
        <f t="shared" si="3"/>
        <v>1180.23</v>
      </c>
      <c r="AD15" s="60"/>
    </row>
    <row r="16" ht="14.25" customHeight="1">
      <c r="A16" s="47">
        <v>45976.0</v>
      </c>
      <c r="B16" s="53"/>
      <c r="C16" s="44"/>
      <c r="D16" s="44"/>
      <c r="E16" s="44"/>
      <c r="F16" s="53">
        <v>53.95</v>
      </c>
      <c r="G16" s="44"/>
      <c r="H16" s="44"/>
      <c r="I16" s="44"/>
      <c r="J16" s="44"/>
      <c r="K16" s="53">
        <v>64.7</v>
      </c>
      <c r="L16" s="53">
        <v>337.68</v>
      </c>
      <c r="M16" s="44"/>
      <c r="N16" s="44"/>
      <c r="O16" s="44"/>
      <c r="P16" s="44"/>
      <c r="Q16" s="44"/>
      <c r="R16" s="44"/>
      <c r="S16" s="44"/>
      <c r="T16" s="44"/>
      <c r="U16" s="53">
        <v>15.0</v>
      </c>
      <c r="V16" s="44"/>
      <c r="W16" s="54" t="s">
        <v>128</v>
      </c>
      <c r="X16" s="44">
        <f t="shared" si="1"/>
        <v>471.33</v>
      </c>
      <c r="Y16" s="44"/>
      <c r="Z16" s="44"/>
      <c r="AA16" s="44">
        <f t="shared" si="2"/>
        <v>-471.33</v>
      </c>
      <c r="AB16" s="44"/>
      <c r="AC16" s="44">
        <f t="shared" si="3"/>
        <v>708.9</v>
      </c>
      <c r="AD16" s="60"/>
    </row>
    <row r="17" ht="14.25" customHeight="1">
      <c r="A17" s="48">
        <v>45977.0</v>
      </c>
      <c r="B17" s="51"/>
      <c r="C17" s="50"/>
      <c r="D17" s="50"/>
      <c r="E17" s="50"/>
      <c r="F17" s="50"/>
      <c r="G17" s="50"/>
      <c r="H17" s="50"/>
      <c r="I17" s="50"/>
      <c r="J17" s="50"/>
      <c r="K17" s="50"/>
      <c r="L17" s="51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2"/>
      <c r="X17" s="50">
        <f t="shared" si="1"/>
        <v>0</v>
      </c>
      <c r="Y17" s="50">
        <f>sum(B11:B17)</f>
        <v>508.9</v>
      </c>
      <c r="Z17" s="50">
        <f>sum(X11:X17)</f>
        <v>1357.05</v>
      </c>
      <c r="AA17" s="50">
        <f t="shared" si="2"/>
        <v>0</v>
      </c>
      <c r="AB17" s="50">
        <f>sum(AA11:AA17)</f>
        <v>-848.15</v>
      </c>
      <c r="AC17" s="50">
        <f t="shared" si="3"/>
        <v>708.9</v>
      </c>
      <c r="AD17" s="61"/>
    </row>
    <row r="18" ht="14.25" customHeight="1">
      <c r="A18" s="47">
        <v>45978.0</v>
      </c>
      <c r="B18" s="53"/>
      <c r="C18" s="44"/>
      <c r="D18" s="44"/>
      <c r="E18" s="44"/>
      <c r="F18" s="44"/>
      <c r="G18" s="44"/>
      <c r="H18" s="44"/>
      <c r="I18" s="53">
        <v>9.3</v>
      </c>
      <c r="J18" s="44"/>
      <c r="K18" s="53">
        <v>93.75</v>
      </c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6"/>
      <c r="X18" s="44">
        <f t="shared" si="1"/>
        <v>103.05</v>
      </c>
      <c r="Y18" s="44"/>
      <c r="Z18" s="44"/>
      <c r="AA18" s="44">
        <f t="shared" si="2"/>
        <v>-103.05</v>
      </c>
      <c r="AB18" s="44"/>
      <c r="AC18" s="44">
        <f t="shared" si="3"/>
        <v>605.85</v>
      </c>
      <c r="AD18" s="60"/>
    </row>
    <row r="19" ht="14.25" customHeight="1">
      <c r="A19" s="47">
        <v>45979.0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6"/>
      <c r="X19" s="44">
        <f t="shared" si="1"/>
        <v>0</v>
      </c>
      <c r="Y19" s="44"/>
      <c r="Z19" s="44"/>
      <c r="AA19" s="44">
        <f t="shared" si="2"/>
        <v>0</v>
      </c>
      <c r="AB19" s="44"/>
      <c r="AC19" s="44">
        <f t="shared" si="3"/>
        <v>605.85</v>
      </c>
      <c r="AD19" s="60"/>
    </row>
    <row r="20" ht="14.25" customHeight="1">
      <c r="A20" s="47">
        <v>45980.0</v>
      </c>
      <c r="B20" s="44"/>
      <c r="C20" s="44"/>
      <c r="D20" s="53">
        <v>40.0</v>
      </c>
      <c r="E20" s="44"/>
      <c r="F20" s="44"/>
      <c r="G20" s="44"/>
      <c r="H20" s="44"/>
      <c r="I20" s="44"/>
      <c r="J20" s="44"/>
      <c r="K20" s="53">
        <v>56.0</v>
      </c>
      <c r="L20" s="53">
        <v>128.8</v>
      </c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54" t="s">
        <v>129</v>
      </c>
      <c r="X20" s="44">
        <f t="shared" si="1"/>
        <v>224.8</v>
      </c>
      <c r="Y20" s="44"/>
      <c r="Z20" s="44"/>
      <c r="AA20" s="44">
        <f t="shared" si="2"/>
        <v>-224.8</v>
      </c>
      <c r="AB20" s="44"/>
      <c r="AC20" s="44">
        <f t="shared" si="3"/>
        <v>381.05</v>
      </c>
      <c r="AD20" s="60"/>
    </row>
    <row r="21" ht="14.25" customHeight="1">
      <c r="A21" s="47">
        <v>45981.0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53"/>
      <c r="O21" s="44"/>
      <c r="P21" s="44"/>
      <c r="Q21" s="44"/>
      <c r="R21" s="44"/>
      <c r="S21" s="44"/>
      <c r="T21" s="44"/>
      <c r="U21" s="44"/>
      <c r="V21" s="53"/>
      <c r="W21" s="54"/>
      <c r="X21" s="44">
        <f t="shared" si="1"/>
        <v>0</v>
      </c>
      <c r="Y21" s="44"/>
      <c r="Z21" s="44"/>
      <c r="AA21" s="44">
        <f t="shared" si="2"/>
        <v>0</v>
      </c>
      <c r="AB21" s="44"/>
      <c r="AC21" s="44">
        <f t="shared" si="3"/>
        <v>381.05</v>
      </c>
      <c r="AD21" s="60"/>
    </row>
    <row r="22" ht="14.25" customHeight="1">
      <c r="A22" s="47">
        <v>45982.0</v>
      </c>
      <c r="B22" s="53"/>
      <c r="C22" s="44"/>
      <c r="D22" s="44"/>
      <c r="E22" s="44"/>
      <c r="F22" s="44"/>
      <c r="G22" s="44"/>
      <c r="H22" s="44"/>
      <c r="I22" s="44"/>
      <c r="J22" s="44"/>
      <c r="K22" s="44"/>
      <c r="L22" s="53">
        <f>70.95+190.16</f>
        <v>261.11</v>
      </c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54" t="s">
        <v>130</v>
      </c>
      <c r="X22" s="44">
        <f t="shared" si="1"/>
        <v>261.11</v>
      </c>
      <c r="Y22" s="44"/>
      <c r="Z22" s="44"/>
      <c r="AA22" s="44">
        <f t="shared" si="2"/>
        <v>-261.11</v>
      </c>
      <c r="AB22" s="44"/>
      <c r="AC22" s="44">
        <f t="shared" si="3"/>
        <v>119.94</v>
      </c>
      <c r="AD22" s="60"/>
    </row>
    <row r="23" ht="14.25" customHeight="1">
      <c r="A23" s="47">
        <v>45983.0</v>
      </c>
      <c r="B23" s="5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54" t="s">
        <v>131</v>
      </c>
      <c r="X23" s="44">
        <f t="shared" si="1"/>
        <v>0</v>
      </c>
      <c r="Y23" s="44"/>
      <c r="Z23" s="44"/>
      <c r="AA23" s="44">
        <f t="shared" si="2"/>
        <v>0</v>
      </c>
      <c r="AB23" s="44"/>
      <c r="AC23" s="44">
        <f t="shared" si="3"/>
        <v>119.94</v>
      </c>
      <c r="AD23" s="60"/>
    </row>
    <row r="24" ht="14.25" customHeight="1">
      <c r="A24" s="48">
        <v>45984.0</v>
      </c>
      <c r="B24" s="50"/>
      <c r="C24" s="50"/>
      <c r="D24" s="50"/>
      <c r="E24" s="50"/>
      <c r="F24" s="50"/>
      <c r="G24" s="50"/>
      <c r="H24" s="50"/>
      <c r="I24" s="51">
        <v>9.3</v>
      </c>
      <c r="J24" s="50"/>
      <c r="K24" s="51">
        <v>13.0</v>
      </c>
      <c r="L24" s="50"/>
      <c r="M24" s="50"/>
      <c r="N24" s="50"/>
      <c r="O24" s="51"/>
      <c r="P24" s="50"/>
      <c r="Q24" s="50"/>
      <c r="R24" s="50"/>
      <c r="S24" s="50"/>
      <c r="T24" s="50"/>
      <c r="U24" s="50"/>
      <c r="V24" s="51"/>
      <c r="W24" s="55" t="s">
        <v>132</v>
      </c>
      <c r="X24" s="50">
        <f t="shared" si="1"/>
        <v>22.3</v>
      </c>
      <c r="Y24" s="50">
        <f>sum(B18:B24)</f>
        <v>0</v>
      </c>
      <c r="Z24" s="50">
        <f>sum(X18:X24)</f>
        <v>611.26</v>
      </c>
      <c r="AA24" s="50">
        <f t="shared" si="2"/>
        <v>-22.3</v>
      </c>
      <c r="AB24" s="50">
        <f>sum(AA18:AA24)</f>
        <v>-611.26</v>
      </c>
      <c r="AC24" s="50">
        <f t="shared" si="3"/>
        <v>97.64</v>
      </c>
      <c r="AD24" s="61"/>
    </row>
    <row r="25" ht="14.25" customHeight="1">
      <c r="A25" s="47">
        <v>45985.0</v>
      </c>
      <c r="B25" s="44"/>
      <c r="C25" s="44"/>
      <c r="D25" s="44"/>
      <c r="E25" s="44"/>
      <c r="F25" s="53">
        <v>4.0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6"/>
      <c r="X25" s="44">
        <f t="shared" si="1"/>
        <v>4</v>
      </c>
      <c r="Y25" s="44"/>
      <c r="Z25" s="44"/>
      <c r="AA25" s="44">
        <f t="shared" si="2"/>
        <v>-4</v>
      </c>
      <c r="AB25" s="44"/>
      <c r="AC25" s="44">
        <f t="shared" si="3"/>
        <v>93.64</v>
      </c>
      <c r="AD25" s="60"/>
    </row>
    <row r="26" ht="14.25" customHeight="1">
      <c r="A26" s="47">
        <v>45986.0</v>
      </c>
      <c r="B26" s="44"/>
      <c r="C26" s="44"/>
      <c r="D26" s="44"/>
      <c r="E26" s="44"/>
      <c r="F26" s="53">
        <v>17.0</v>
      </c>
      <c r="G26" s="44"/>
      <c r="H26" s="44"/>
      <c r="I26" s="44"/>
      <c r="J26" s="44"/>
      <c r="K26" s="53">
        <v>15.0</v>
      </c>
      <c r="L26" s="53">
        <v>44.0</v>
      </c>
      <c r="M26" s="44"/>
      <c r="N26" s="44"/>
      <c r="O26" s="44"/>
      <c r="P26" s="44"/>
      <c r="Q26" s="44"/>
      <c r="R26" s="44"/>
      <c r="S26" s="44"/>
      <c r="T26" s="44"/>
      <c r="U26" s="53">
        <v>4.9</v>
      </c>
      <c r="V26" s="53"/>
      <c r="W26" s="54" t="s">
        <v>133</v>
      </c>
      <c r="X26" s="44">
        <f t="shared" si="1"/>
        <v>80.9</v>
      </c>
      <c r="Y26" s="44"/>
      <c r="Z26" s="44"/>
      <c r="AA26" s="44">
        <f t="shared" si="2"/>
        <v>-80.9</v>
      </c>
      <c r="AB26" s="44"/>
      <c r="AC26" s="44">
        <f t="shared" si="3"/>
        <v>12.74</v>
      </c>
      <c r="AD26" s="60"/>
    </row>
    <row r="27" ht="14.25" customHeight="1">
      <c r="A27" s="47">
        <v>45987.0</v>
      </c>
      <c r="B27" s="44"/>
      <c r="C27" s="44"/>
      <c r="D27" s="53"/>
      <c r="E27" s="44"/>
      <c r="F27" s="53">
        <v>29.0</v>
      </c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6"/>
      <c r="X27" s="44">
        <f t="shared" si="1"/>
        <v>29</v>
      </c>
      <c r="Y27" s="44"/>
      <c r="Z27" s="44"/>
      <c r="AA27" s="44">
        <f t="shared" si="2"/>
        <v>-29</v>
      </c>
      <c r="AB27" s="44"/>
      <c r="AC27" s="44">
        <f t="shared" si="3"/>
        <v>-16.26</v>
      </c>
      <c r="AD27" s="60"/>
    </row>
    <row r="28" ht="14.25" customHeight="1">
      <c r="A28" s="47">
        <v>45988.0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6"/>
      <c r="X28" s="44">
        <f t="shared" si="1"/>
        <v>0</v>
      </c>
      <c r="Y28" s="44"/>
      <c r="Z28" s="44"/>
      <c r="AA28" s="44">
        <f t="shared" si="2"/>
        <v>0</v>
      </c>
      <c r="AB28" s="44"/>
      <c r="AC28" s="44">
        <f t="shared" si="3"/>
        <v>-16.26</v>
      </c>
      <c r="AD28" s="60"/>
    </row>
    <row r="29" ht="14.25" customHeight="1">
      <c r="A29" s="47">
        <v>45989.0</v>
      </c>
      <c r="B29" s="44"/>
      <c r="C29" s="44"/>
      <c r="D29" s="44"/>
      <c r="E29" s="44"/>
      <c r="F29" s="53">
        <v>43.7</v>
      </c>
      <c r="G29" s="44"/>
      <c r="H29" s="44"/>
      <c r="I29" s="44"/>
      <c r="J29" s="44"/>
      <c r="K29" s="53">
        <v>5.2</v>
      </c>
      <c r="L29" s="53">
        <v>55.96</v>
      </c>
      <c r="M29" s="44"/>
      <c r="N29" s="44"/>
      <c r="O29" s="44"/>
      <c r="P29" s="44"/>
      <c r="Q29" s="44"/>
      <c r="R29" s="44"/>
      <c r="S29" s="44"/>
      <c r="T29" s="44"/>
      <c r="U29" s="53">
        <v>19.5</v>
      </c>
      <c r="V29" s="44"/>
      <c r="W29" s="54" t="s">
        <v>134</v>
      </c>
      <c r="X29" s="44">
        <f t="shared" si="1"/>
        <v>124.36</v>
      </c>
      <c r="Y29" s="44"/>
      <c r="Z29" s="44"/>
      <c r="AA29" s="44">
        <f t="shared" si="2"/>
        <v>-124.36</v>
      </c>
      <c r="AB29" s="44"/>
      <c r="AC29" s="44">
        <f t="shared" si="3"/>
        <v>-140.62</v>
      </c>
      <c r="AD29" s="60"/>
    </row>
    <row r="30" ht="14.25" customHeight="1">
      <c r="A30" s="47">
        <v>45990.0</v>
      </c>
      <c r="B30" s="44"/>
      <c r="C30" s="44"/>
      <c r="D30" s="44"/>
      <c r="E30" s="44"/>
      <c r="F30" s="44"/>
      <c r="G30" s="44"/>
      <c r="H30" s="44"/>
      <c r="I30" s="44"/>
      <c r="J30" s="44"/>
      <c r="K30" s="53">
        <v>19.0</v>
      </c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6"/>
      <c r="X30" s="44">
        <f t="shared" si="1"/>
        <v>19</v>
      </c>
      <c r="Y30" s="44"/>
      <c r="Z30" s="44"/>
      <c r="AA30" s="44">
        <f t="shared" si="2"/>
        <v>-19</v>
      </c>
      <c r="AB30" s="44"/>
      <c r="AC30" s="44">
        <f t="shared" si="3"/>
        <v>-159.62</v>
      </c>
      <c r="AD30" s="60"/>
    </row>
    <row r="31" ht="14.25" customHeight="1">
      <c r="A31" s="48">
        <v>45991.0</v>
      </c>
      <c r="B31" s="50"/>
      <c r="C31" s="50"/>
      <c r="D31" s="50"/>
      <c r="E31" s="50"/>
      <c r="F31" s="50"/>
      <c r="G31" s="50"/>
      <c r="H31" s="50"/>
      <c r="I31" s="50"/>
      <c r="J31" s="50"/>
      <c r="K31" s="51">
        <v>21.0</v>
      </c>
      <c r="L31" s="51">
        <v>15.2</v>
      </c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5" t="s">
        <v>135</v>
      </c>
      <c r="X31" s="50">
        <f t="shared" si="1"/>
        <v>36.2</v>
      </c>
      <c r="Y31" s="50">
        <f>sum(B25:B31)</f>
        <v>0</v>
      </c>
      <c r="Z31" s="50">
        <f>sum(X25:X31)</f>
        <v>293.46</v>
      </c>
      <c r="AA31" s="50">
        <f t="shared" si="2"/>
        <v>-36.2</v>
      </c>
      <c r="AB31" s="50">
        <f>sum(AA25:AA31)</f>
        <v>-293.46</v>
      </c>
      <c r="AC31" s="50">
        <f t="shared" si="3"/>
        <v>-195.82</v>
      </c>
      <c r="AD31" s="61"/>
    </row>
    <row r="32" ht="14.25" customHeight="1">
      <c r="A32" s="47"/>
      <c r="B32" s="53"/>
      <c r="C32" s="44"/>
      <c r="D32" s="44"/>
      <c r="E32" s="44"/>
      <c r="F32" s="53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6"/>
      <c r="X32" s="44"/>
      <c r="Y32" s="44"/>
      <c r="Z32" s="44"/>
      <c r="AA32" s="44"/>
      <c r="AB32" s="44"/>
      <c r="AC32" s="44"/>
      <c r="AD32" s="60"/>
    </row>
    <row r="33" ht="14.2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6"/>
      <c r="X33" s="44"/>
      <c r="Y33" s="44"/>
      <c r="Z33" s="44"/>
      <c r="AA33" s="44"/>
      <c r="AB33" s="44"/>
      <c r="AC33" s="44"/>
      <c r="AD33" s="60"/>
    </row>
    <row r="34" ht="14.25" customHeight="1">
      <c r="A34" s="44" t="str">
        <f>count(B2:B31,"number")&amp;" "&amp;"/"&amp;" "&amp;countif(B2:B31,"")</f>
        <v>10 / 20</v>
      </c>
      <c r="B34" s="44">
        <f t="shared" ref="B34:U34" si="4">SUM(B2:B33)</f>
        <v>3458.6</v>
      </c>
      <c r="C34" s="44">
        <f t="shared" si="4"/>
        <v>70</v>
      </c>
      <c r="D34" s="44">
        <f t="shared" si="4"/>
        <v>600</v>
      </c>
      <c r="E34" s="44">
        <f t="shared" si="4"/>
        <v>0</v>
      </c>
      <c r="F34" s="44">
        <f t="shared" si="4"/>
        <v>362.15</v>
      </c>
      <c r="G34" s="44">
        <f t="shared" si="4"/>
        <v>124.3</v>
      </c>
      <c r="H34" s="44">
        <f t="shared" si="4"/>
        <v>220</v>
      </c>
      <c r="I34" s="44">
        <f t="shared" si="4"/>
        <v>102.24</v>
      </c>
      <c r="J34" s="44">
        <f t="shared" si="4"/>
        <v>0</v>
      </c>
      <c r="K34" s="44">
        <f t="shared" si="4"/>
        <v>366.33</v>
      </c>
      <c r="L34" s="44">
        <f t="shared" si="4"/>
        <v>985.2</v>
      </c>
      <c r="M34" s="44">
        <f t="shared" si="4"/>
        <v>0</v>
      </c>
      <c r="N34" s="44">
        <f t="shared" si="4"/>
        <v>0</v>
      </c>
      <c r="O34" s="44">
        <f t="shared" si="4"/>
        <v>7</v>
      </c>
      <c r="P34" s="44">
        <f t="shared" si="4"/>
        <v>10</v>
      </c>
      <c r="Q34" s="44">
        <f t="shared" si="4"/>
        <v>0</v>
      </c>
      <c r="R34" s="44">
        <f t="shared" si="4"/>
        <v>350</v>
      </c>
      <c r="S34" s="44">
        <f t="shared" si="4"/>
        <v>10</v>
      </c>
      <c r="T34" s="44">
        <f t="shared" si="4"/>
        <v>200</v>
      </c>
      <c r="U34" s="44">
        <f t="shared" si="4"/>
        <v>247.2</v>
      </c>
      <c r="V34" s="44"/>
      <c r="W34" s="46"/>
      <c r="X34" s="44">
        <f>SUM(X2:X33)</f>
        <v>3654.42</v>
      </c>
      <c r="Y34" s="44"/>
      <c r="Z34" s="44"/>
      <c r="AA34" s="44"/>
      <c r="AB34" s="44"/>
      <c r="AC34" s="44"/>
      <c r="AD34" s="60"/>
    </row>
    <row r="35" ht="14.25" customHeight="1">
      <c r="A35" s="57" t="s">
        <v>62</v>
      </c>
      <c r="B35" s="65">
        <f>B34-(C34+D34+E34+F34+G34+H34+I34+J34+K34+L34+M34+N34+O34+P34+Q34+R34+S34+T34+U34)</f>
        <v>-195.82</v>
      </c>
      <c r="C35" s="44"/>
      <c r="D35" s="44">
        <f>D34+E34</f>
        <v>600</v>
      </c>
      <c r="F35" s="44">
        <f>G34+F34</f>
        <v>486.45</v>
      </c>
      <c r="H35" s="44"/>
      <c r="I35" s="44"/>
      <c r="J35" s="66" t="s">
        <v>80</v>
      </c>
      <c r="K35" s="67" t="s">
        <v>81</v>
      </c>
      <c r="L35" s="68" t="s">
        <v>82</v>
      </c>
      <c r="M35" s="69" t="s">
        <v>83</v>
      </c>
      <c r="N35" s="70" t="s">
        <v>84</v>
      </c>
      <c r="O35" s="71" t="s">
        <v>85</v>
      </c>
      <c r="P35" s="44"/>
      <c r="Q35" s="44"/>
      <c r="R35" s="44"/>
      <c r="S35" s="44"/>
      <c r="T35" s="44"/>
      <c r="U35" s="44"/>
      <c r="V35" s="44"/>
      <c r="W35" s="46" t="s">
        <v>63</v>
      </c>
      <c r="X35" s="46"/>
      <c r="Y35" s="46"/>
      <c r="Z35" s="46"/>
      <c r="AA35" s="46"/>
      <c r="AB35" s="59">
        <f>B35/B34</f>
        <v>-0.05661828486</v>
      </c>
      <c r="AC35" s="59"/>
      <c r="AD35" s="60"/>
    </row>
  </sheetData>
  <mergeCells count="4">
    <mergeCell ref="D1:E1"/>
    <mergeCell ref="F1:G1"/>
    <mergeCell ref="D35:E35"/>
    <mergeCell ref="F35:G35"/>
  </mergeCells>
  <conditionalFormatting sqref="AC2:AC32">
    <cfRule type="cellIs" dxfId="2" priority="1" operator="lessThan">
      <formula>1000</formula>
    </cfRule>
  </conditionalFormatting>
  <conditionalFormatting sqref="AC2:AC32">
    <cfRule type="cellIs" dxfId="3" priority="2" operator="lessThan">
      <formula>2000</formula>
    </cfRule>
  </conditionalFormatting>
  <conditionalFormatting sqref="AC2:AC32">
    <cfRule type="cellIs" dxfId="4" priority="3" operator="lessThan">
      <formula>3000</formula>
    </cfRule>
  </conditionalFormatting>
  <conditionalFormatting sqref="AC2:AC32">
    <cfRule type="cellIs" dxfId="5" priority="4" operator="lessThan">
      <formula>4000</formula>
    </cfRule>
  </conditionalFormatting>
  <conditionalFormatting sqref="AC2:AC32">
    <cfRule type="cellIs" dxfId="6" priority="5" operator="lessThan">
      <formula>5000</formula>
    </cfRule>
  </conditionalFormatting>
  <conditionalFormatting sqref="AC2:AC32">
    <cfRule type="cellIs" dxfId="7" priority="6" operator="lessThan">
      <formula>6000</formula>
    </cfRule>
  </conditionalFormatting>
  <conditionalFormatting sqref="AC2:AC32">
    <cfRule type="cellIs" dxfId="8" priority="7" operator="greaterThan">
      <formula>6000</formula>
    </cfRule>
  </conditionalFormatting>
  <conditionalFormatting sqref="B2:B31">
    <cfRule type="cellIs" dxfId="9" priority="8" operator="between">
      <formula>0</formula>
      <formula>99.99</formula>
    </cfRule>
  </conditionalFormatting>
  <conditionalFormatting sqref="B2:B31">
    <cfRule type="cellIs" dxfId="3" priority="9" operator="between">
      <formula>100</formula>
      <formula>199.99</formula>
    </cfRule>
  </conditionalFormatting>
  <conditionalFormatting sqref="B2:B31">
    <cfRule type="cellIs" dxfId="10" priority="10" operator="between">
      <formula>200</formula>
      <formula>299.99</formula>
    </cfRule>
  </conditionalFormatting>
  <conditionalFormatting sqref="B2:B31">
    <cfRule type="cellIs" dxfId="5" priority="11" operator="between">
      <formula>300</formula>
      <formula>399.99</formula>
    </cfRule>
  </conditionalFormatting>
  <conditionalFormatting sqref="B2:B31">
    <cfRule type="cellIs" dxfId="6" priority="12" operator="between">
      <formula>400</formula>
      <formula>499.99</formula>
    </cfRule>
  </conditionalFormatting>
  <conditionalFormatting sqref="B2:B31">
    <cfRule type="cellIs" dxfId="7" priority="13" operator="greaterThan">
      <formula>500</formula>
    </cfRule>
  </conditionalFormatting>
  <conditionalFormatting sqref="AA2:AA31">
    <cfRule type="cellIs" dxfId="0" priority="14" operator="greaterThan">
      <formula>0</formula>
    </cfRule>
  </conditionalFormatting>
  <conditionalFormatting sqref="AA2:AA31">
    <cfRule type="cellIs" dxfId="11" priority="15" operator="lessThan">
      <formula>0</formula>
    </cfRule>
  </conditionalFormatting>
  <conditionalFormatting sqref="A2:A31">
    <cfRule type="timePeriod" dxfId="12" priority="16" timePeriod="today"/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7.88"/>
    <col customWidth="1" min="2" max="2" width="10.75"/>
    <col customWidth="1" min="3" max="3" width="8.63"/>
    <col customWidth="1" min="4" max="5" width="8.25"/>
    <col customWidth="1" min="6" max="7" width="8.0"/>
    <col customWidth="1" min="8" max="9" width="7.63"/>
    <col customWidth="1" min="10" max="14" width="9.75"/>
    <col customWidth="1" min="15" max="21" width="7.63"/>
    <col customWidth="1" min="22" max="22" width="14.38"/>
    <col customWidth="1" min="23" max="23" width="16.38"/>
    <col customWidth="1" min="24" max="24" width="9.38"/>
    <col customWidth="1" min="25" max="25" width="11.5"/>
    <col customWidth="1" min="26" max="30" width="9.38"/>
  </cols>
  <sheetData>
    <row r="1" ht="14.25" customHeight="1">
      <c r="A1" s="44" t="s">
        <v>53</v>
      </c>
      <c r="B1" s="44" t="s">
        <v>1</v>
      </c>
      <c r="C1" s="44" t="s">
        <v>16</v>
      </c>
      <c r="D1" s="44" t="s">
        <v>17</v>
      </c>
      <c r="F1" s="44" t="s">
        <v>18</v>
      </c>
      <c r="H1" s="44" t="s">
        <v>19</v>
      </c>
      <c r="I1" s="44" t="s">
        <v>20</v>
      </c>
      <c r="J1" s="44" t="s">
        <v>21</v>
      </c>
      <c r="K1" s="44" t="s">
        <v>22</v>
      </c>
      <c r="L1" s="44" t="s">
        <v>23</v>
      </c>
      <c r="M1" s="44" t="s">
        <v>24</v>
      </c>
      <c r="N1" s="44" t="s">
        <v>25</v>
      </c>
      <c r="O1" s="44" t="s">
        <v>26</v>
      </c>
      <c r="P1" s="44" t="s">
        <v>27</v>
      </c>
      <c r="Q1" s="44" t="s">
        <v>28</v>
      </c>
      <c r="R1" s="44" t="s">
        <v>29</v>
      </c>
      <c r="S1" s="44" t="s">
        <v>32</v>
      </c>
      <c r="T1" s="44" t="s">
        <v>34</v>
      </c>
      <c r="U1" s="44" t="s">
        <v>36</v>
      </c>
      <c r="V1" s="53" t="s">
        <v>40</v>
      </c>
      <c r="W1" s="46" t="s">
        <v>54</v>
      </c>
      <c r="X1" s="44" t="s">
        <v>2</v>
      </c>
      <c r="Y1" s="44" t="s">
        <v>55</v>
      </c>
      <c r="Z1" s="44" t="s">
        <v>56</v>
      </c>
      <c r="AA1" s="44" t="s">
        <v>57</v>
      </c>
      <c r="AB1" s="44" t="s">
        <v>58</v>
      </c>
      <c r="AC1" s="53" t="s">
        <v>78</v>
      </c>
      <c r="AD1" s="60"/>
    </row>
    <row r="2" ht="14.25" customHeight="1">
      <c r="A2" s="47">
        <v>45992.0</v>
      </c>
      <c r="B2" s="53"/>
      <c r="C2" s="44"/>
      <c r="D2" s="53"/>
      <c r="E2" s="44"/>
      <c r="F2" s="44"/>
      <c r="G2" s="44"/>
      <c r="H2" s="44"/>
      <c r="I2" s="44"/>
      <c r="J2" s="44"/>
      <c r="K2" s="44">
        <f>14.65+11.5+20.8</f>
        <v>46.95</v>
      </c>
      <c r="L2" s="44"/>
      <c r="M2" s="44"/>
      <c r="N2" s="53">
        <f>17.5+3.9</f>
        <v>21.4</v>
      </c>
      <c r="O2" s="44"/>
      <c r="P2" s="44"/>
      <c r="Q2" s="44"/>
      <c r="R2" s="44"/>
      <c r="S2" s="44"/>
      <c r="T2" s="44"/>
      <c r="U2" s="44"/>
      <c r="V2" s="44"/>
      <c r="W2" s="54" t="s">
        <v>136</v>
      </c>
      <c r="X2" s="44">
        <f t="shared" ref="X2:X31" si="1">sum(C2:U2)</f>
        <v>68.35</v>
      </c>
      <c r="Y2" s="44"/>
      <c r="Z2" s="44"/>
      <c r="AA2" s="44">
        <f t="shared" ref="AA2:AA31" si="2">B2-X2</f>
        <v>-68.35</v>
      </c>
      <c r="AB2" s="44"/>
      <c r="AC2" s="44">
        <f>AA2</f>
        <v>-68.35</v>
      </c>
      <c r="AD2" s="60"/>
    </row>
    <row r="3" ht="14.25" customHeight="1">
      <c r="A3" s="47">
        <v>45993.0</v>
      </c>
      <c r="B3" s="53"/>
      <c r="C3" s="44"/>
      <c r="D3" s="44"/>
      <c r="E3" s="44"/>
      <c r="F3" s="44"/>
      <c r="G3" s="44"/>
      <c r="H3" s="44"/>
      <c r="I3" s="44"/>
      <c r="J3" s="44"/>
      <c r="K3" s="53"/>
      <c r="L3" s="53">
        <f>99.6+19+4.76+15.9</f>
        <v>139.26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54" t="s">
        <v>137</v>
      </c>
      <c r="X3" s="44">
        <f t="shared" si="1"/>
        <v>139.26</v>
      </c>
      <c r="Y3" s="44"/>
      <c r="Z3" s="44"/>
      <c r="AA3" s="44">
        <f t="shared" si="2"/>
        <v>-139.26</v>
      </c>
      <c r="AB3" s="44"/>
      <c r="AC3" s="44">
        <f t="shared" ref="AC3:AC31" si="3">AC2+AA3</f>
        <v>-207.61</v>
      </c>
      <c r="AD3" s="60"/>
    </row>
    <row r="4" ht="14.25" customHeight="1">
      <c r="A4" s="47">
        <v>45994.0</v>
      </c>
      <c r="B4" s="53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S4" s="44"/>
      <c r="T4" s="44"/>
      <c r="U4" s="44"/>
      <c r="V4" s="44"/>
      <c r="W4" s="46"/>
      <c r="X4" s="44">
        <f t="shared" si="1"/>
        <v>0</v>
      </c>
      <c r="Y4" s="44"/>
      <c r="Z4" s="44"/>
      <c r="AA4" s="44">
        <f t="shared" si="2"/>
        <v>0</v>
      </c>
      <c r="AB4" s="44"/>
      <c r="AC4" s="44">
        <f t="shared" si="3"/>
        <v>-207.61</v>
      </c>
      <c r="AD4" s="60"/>
    </row>
    <row r="5" ht="14.25" customHeight="1">
      <c r="A5" s="47">
        <v>45995.0</v>
      </c>
      <c r="B5" s="53"/>
      <c r="C5" s="44"/>
      <c r="D5" s="44"/>
      <c r="E5" s="44"/>
      <c r="F5" s="53">
        <v>32.0</v>
      </c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53">
        <v>350.0</v>
      </c>
      <c r="S5" s="53">
        <v>9.47</v>
      </c>
      <c r="T5" s="44"/>
      <c r="U5" s="88">
        <v>25.0</v>
      </c>
      <c r="V5" s="44"/>
      <c r="W5" s="54" t="s">
        <v>138</v>
      </c>
      <c r="X5" s="44">
        <f t="shared" si="1"/>
        <v>416.47</v>
      </c>
      <c r="Y5" s="44"/>
      <c r="Z5" s="44"/>
      <c r="AA5" s="44">
        <f t="shared" si="2"/>
        <v>-416.47</v>
      </c>
      <c r="AB5" s="44"/>
      <c r="AC5" s="44">
        <f t="shared" si="3"/>
        <v>-624.08</v>
      </c>
      <c r="AD5" s="60"/>
    </row>
    <row r="6" ht="14.25" customHeight="1">
      <c r="A6" s="47">
        <v>45996.0</v>
      </c>
      <c r="B6" s="53"/>
      <c r="C6" s="44"/>
      <c r="D6" s="44"/>
      <c r="E6" s="44"/>
      <c r="F6" s="53">
        <v>37.75</v>
      </c>
      <c r="G6" s="44"/>
      <c r="H6" s="44"/>
      <c r="I6" s="53">
        <v>9.3</v>
      </c>
      <c r="J6" s="44"/>
      <c r="K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54" t="s">
        <v>139</v>
      </c>
      <c r="X6" s="44">
        <f t="shared" si="1"/>
        <v>47.05</v>
      </c>
      <c r="Y6" s="44"/>
      <c r="Z6" s="44"/>
      <c r="AA6" s="44">
        <f t="shared" si="2"/>
        <v>-47.05</v>
      </c>
      <c r="AB6" s="44"/>
      <c r="AC6" s="44">
        <f t="shared" si="3"/>
        <v>-671.13</v>
      </c>
      <c r="AD6" s="60"/>
    </row>
    <row r="7" ht="14.25" customHeight="1">
      <c r="A7" s="47">
        <v>45997.0</v>
      </c>
      <c r="B7" s="53"/>
      <c r="C7" s="44"/>
      <c r="D7" s="44"/>
      <c r="E7" s="44"/>
      <c r="F7" s="53"/>
      <c r="G7" s="44"/>
      <c r="H7" s="44"/>
      <c r="I7" s="44"/>
      <c r="J7" s="44"/>
      <c r="K7" s="44"/>
      <c r="L7" s="53">
        <v>16.96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6"/>
      <c r="X7" s="44">
        <f t="shared" si="1"/>
        <v>16.96</v>
      </c>
      <c r="Y7" s="44"/>
      <c r="Z7" s="44"/>
      <c r="AA7" s="44">
        <f t="shared" si="2"/>
        <v>-16.96</v>
      </c>
      <c r="AB7" s="44"/>
      <c r="AC7" s="44">
        <f t="shared" si="3"/>
        <v>-688.09</v>
      </c>
      <c r="AD7" s="60"/>
    </row>
    <row r="8" ht="14.25" customHeight="1">
      <c r="A8" s="48">
        <v>45998.0</v>
      </c>
      <c r="B8" s="51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1"/>
      <c r="O8" s="50"/>
      <c r="P8" s="50"/>
      <c r="Q8" s="50"/>
      <c r="R8" s="50"/>
      <c r="S8" s="50"/>
      <c r="T8" s="50"/>
      <c r="U8" s="51">
        <v>5.0</v>
      </c>
      <c r="V8" s="51"/>
      <c r="W8" s="55" t="s">
        <v>140</v>
      </c>
      <c r="X8" s="50">
        <f t="shared" si="1"/>
        <v>5</v>
      </c>
      <c r="Y8" s="50">
        <f>sum(B2:B8)</f>
        <v>0</v>
      </c>
      <c r="Z8" s="50">
        <f>sum(X2:X8)</f>
        <v>693.09</v>
      </c>
      <c r="AA8" s="50">
        <f t="shared" si="2"/>
        <v>-5</v>
      </c>
      <c r="AB8" s="50">
        <f>Y8-Z8</f>
        <v>-693.09</v>
      </c>
      <c r="AC8" s="50">
        <f t="shared" si="3"/>
        <v>-693.09</v>
      </c>
      <c r="AD8" s="61"/>
    </row>
    <row r="9" ht="14.25" customHeight="1">
      <c r="A9" s="47">
        <v>45999.0</v>
      </c>
      <c r="B9" s="53"/>
      <c r="C9" s="44"/>
      <c r="D9" s="44"/>
      <c r="E9" s="44"/>
      <c r="F9" s="44"/>
      <c r="G9" s="44"/>
      <c r="H9" s="44"/>
      <c r="I9" s="44"/>
      <c r="J9" s="53">
        <v>17.0</v>
      </c>
      <c r="K9" s="44"/>
      <c r="L9" s="44"/>
      <c r="M9" s="44"/>
      <c r="O9" s="44"/>
      <c r="P9" s="44"/>
      <c r="Q9" s="44"/>
      <c r="R9" s="44"/>
      <c r="S9" s="44"/>
      <c r="T9" s="44"/>
      <c r="U9" s="53">
        <v>79.38</v>
      </c>
      <c r="V9" s="44"/>
      <c r="W9" s="54" t="s">
        <v>141</v>
      </c>
      <c r="X9" s="44">
        <f t="shared" si="1"/>
        <v>96.38</v>
      </c>
      <c r="Y9" s="44"/>
      <c r="Z9" s="44"/>
      <c r="AA9" s="44">
        <f t="shared" si="2"/>
        <v>-96.38</v>
      </c>
      <c r="AB9" s="44"/>
      <c r="AC9" s="44">
        <f t="shared" si="3"/>
        <v>-789.47</v>
      </c>
      <c r="AD9" s="60"/>
    </row>
    <row r="10" ht="14.25" customHeight="1">
      <c r="A10" s="47">
        <v>46000.0</v>
      </c>
      <c r="B10" s="53"/>
      <c r="C10" s="44"/>
      <c r="D10" s="44"/>
      <c r="E10" s="44"/>
      <c r="F10" s="53">
        <v>5.0</v>
      </c>
      <c r="G10" s="44"/>
      <c r="H10" s="44"/>
      <c r="I10" s="44"/>
      <c r="J10" s="44">
        <f>3+8+6</f>
        <v>17</v>
      </c>
      <c r="K10" s="53">
        <v>5.0</v>
      </c>
      <c r="L10" s="53"/>
      <c r="M10" s="44"/>
      <c r="N10" s="44"/>
      <c r="O10" s="44"/>
      <c r="P10" s="44"/>
      <c r="Q10" s="44"/>
      <c r="R10" s="44"/>
      <c r="S10" s="44"/>
      <c r="T10" s="44"/>
      <c r="U10" s="88">
        <v>30.78</v>
      </c>
      <c r="V10" s="53"/>
      <c r="W10" s="54" t="s">
        <v>142</v>
      </c>
      <c r="X10" s="44">
        <f t="shared" si="1"/>
        <v>57.78</v>
      </c>
      <c r="Y10" s="44"/>
      <c r="Z10" s="44"/>
      <c r="AA10" s="44">
        <f t="shared" si="2"/>
        <v>-57.78</v>
      </c>
      <c r="AB10" s="44"/>
      <c r="AC10" s="44">
        <f t="shared" si="3"/>
        <v>-847.25</v>
      </c>
      <c r="AD10" s="60"/>
    </row>
    <row r="11" ht="14.25" customHeight="1">
      <c r="A11" s="47">
        <v>46001.0</v>
      </c>
      <c r="B11" s="53"/>
      <c r="C11" s="44"/>
      <c r="D11" s="44"/>
      <c r="E11" s="44"/>
      <c r="F11" s="44"/>
      <c r="G11" s="44"/>
      <c r="H11" s="44"/>
      <c r="I11" s="44"/>
      <c r="J11" s="44"/>
      <c r="K11" s="53">
        <v>16.5</v>
      </c>
      <c r="L11" s="53"/>
      <c r="M11" s="44"/>
      <c r="N11" s="44"/>
      <c r="O11" s="44"/>
      <c r="P11" s="44"/>
      <c r="Q11" s="44"/>
      <c r="R11" s="44"/>
      <c r="S11" s="44"/>
      <c r="T11" s="44"/>
      <c r="U11" s="44"/>
      <c r="V11" s="53"/>
      <c r="W11" s="54" t="s">
        <v>143</v>
      </c>
      <c r="X11" s="44">
        <f t="shared" si="1"/>
        <v>16.5</v>
      </c>
      <c r="Y11" s="44"/>
      <c r="Z11" s="44"/>
      <c r="AA11" s="44">
        <f t="shared" si="2"/>
        <v>-16.5</v>
      </c>
      <c r="AB11" s="44"/>
      <c r="AC11" s="44">
        <f t="shared" si="3"/>
        <v>-863.75</v>
      </c>
      <c r="AD11" s="60"/>
    </row>
    <row r="12" ht="14.25" customHeight="1">
      <c r="A12" s="47">
        <v>46002.0</v>
      </c>
      <c r="B12" s="53"/>
      <c r="C12" s="44"/>
      <c r="D12" s="44"/>
      <c r="E12" s="44"/>
      <c r="F12" s="44"/>
      <c r="G12" s="44"/>
      <c r="H12" s="44"/>
      <c r="I12" s="44"/>
      <c r="J12" s="44"/>
      <c r="K12" s="44"/>
      <c r="L12" s="53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6"/>
      <c r="X12" s="44">
        <f t="shared" si="1"/>
        <v>0</v>
      </c>
      <c r="Y12" s="44"/>
      <c r="Z12" s="44"/>
      <c r="AA12" s="44">
        <f t="shared" si="2"/>
        <v>0</v>
      </c>
      <c r="AB12" s="44"/>
      <c r="AC12" s="44">
        <f t="shared" si="3"/>
        <v>-863.75</v>
      </c>
      <c r="AD12" s="60"/>
    </row>
    <row r="13" ht="14.25" customHeight="1">
      <c r="A13" s="47">
        <v>46003.0</v>
      </c>
      <c r="B13" s="53"/>
      <c r="C13" s="44"/>
      <c r="D13" s="44"/>
      <c r="E13" s="44"/>
      <c r="F13" s="44"/>
      <c r="G13" s="44"/>
      <c r="H13" s="44"/>
      <c r="I13" s="44"/>
      <c r="J13" s="44"/>
      <c r="K13" s="53">
        <f>58.25+33.45</f>
        <v>91.7</v>
      </c>
      <c r="L13" s="44"/>
      <c r="M13" s="44"/>
      <c r="N13" s="44"/>
      <c r="O13" s="44"/>
      <c r="P13" s="44"/>
      <c r="Q13" s="44"/>
      <c r="R13" s="44"/>
      <c r="S13" s="53">
        <v>28.88</v>
      </c>
      <c r="T13" s="44"/>
      <c r="U13" s="44"/>
      <c r="V13" s="44"/>
      <c r="W13" s="54" t="s">
        <v>144</v>
      </c>
      <c r="X13" s="44">
        <f t="shared" si="1"/>
        <v>120.58</v>
      </c>
      <c r="Y13" s="44"/>
      <c r="Z13" s="44"/>
      <c r="AA13" s="44">
        <f t="shared" si="2"/>
        <v>-120.58</v>
      </c>
      <c r="AB13" s="44"/>
      <c r="AC13" s="44">
        <f t="shared" si="3"/>
        <v>-984.33</v>
      </c>
      <c r="AD13" s="60"/>
    </row>
    <row r="14" ht="14.25" customHeight="1">
      <c r="A14" s="47">
        <v>46004.0</v>
      </c>
      <c r="B14" s="53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6"/>
      <c r="X14" s="44">
        <f t="shared" si="1"/>
        <v>0</v>
      </c>
      <c r="Y14" s="44"/>
      <c r="Z14" s="44"/>
      <c r="AA14" s="44">
        <f t="shared" si="2"/>
        <v>0</v>
      </c>
      <c r="AB14" s="44"/>
      <c r="AC14" s="44">
        <f t="shared" si="3"/>
        <v>-984.33</v>
      </c>
      <c r="AD14" s="60"/>
    </row>
    <row r="15" ht="14.25" customHeight="1">
      <c r="A15" s="48">
        <v>46005.0</v>
      </c>
      <c r="B15" s="51"/>
      <c r="C15" s="50"/>
      <c r="D15" s="50"/>
      <c r="E15" s="50"/>
      <c r="F15" s="50"/>
      <c r="G15" s="50"/>
      <c r="H15" s="50"/>
      <c r="I15" s="50"/>
      <c r="J15" s="50"/>
      <c r="K15" s="50"/>
      <c r="L15" s="51">
        <f>21.9+12.76</f>
        <v>34.66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5" t="s">
        <v>145</v>
      </c>
      <c r="X15" s="50">
        <f t="shared" si="1"/>
        <v>34.66</v>
      </c>
      <c r="Y15" s="50">
        <f>sum(B9:B15)</f>
        <v>0</v>
      </c>
      <c r="Z15" s="50">
        <f>sum(X9:X15)</f>
        <v>325.9</v>
      </c>
      <c r="AA15" s="50">
        <f t="shared" si="2"/>
        <v>-34.66</v>
      </c>
      <c r="AB15" s="50">
        <f>Y15-Z15</f>
        <v>-325.9</v>
      </c>
      <c r="AC15" s="50">
        <f t="shared" si="3"/>
        <v>-1018.99</v>
      </c>
      <c r="AD15" s="61"/>
    </row>
    <row r="16" ht="14.25" customHeight="1">
      <c r="A16" s="47">
        <v>46006.0</v>
      </c>
      <c r="B16" s="53"/>
      <c r="C16" s="44"/>
      <c r="D16" s="44"/>
      <c r="E16" s="44"/>
      <c r="F16" s="44"/>
      <c r="G16" s="44"/>
      <c r="H16" s="44"/>
      <c r="I16" s="44"/>
      <c r="J16" s="44"/>
      <c r="K16" s="53">
        <v>40.3</v>
      </c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54" t="s">
        <v>146</v>
      </c>
      <c r="X16" s="44">
        <f t="shared" si="1"/>
        <v>40.3</v>
      </c>
      <c r="Y16" s="44"/>
      <c r="Z16" s="44"/>
      <c r="AA16" s="44">
        <f t="shared" si="2"/>
        <v>-40.3</v>
      </c>
      <c r="AB16" s="44"/>
      <c r="AC16" s="44">
        <f t="shared" si="3"/>
        <v>-1059.29</v>
      </c>
      <c r="AD16" s="60"/>
    </row>
    <row r="17" ht="14.25" customHeight="1">
      <c r="A17" s="47">
        <v>46007.0</v>
      </c>
      <c r="B17" s="53"/>
      <c r="C17" s="44"/>
      <c r="D17" s="44"/>
      <c r="E17" s="44"/>
      <c r="F17" s="44"/>
      <c r="G17" s="44"/>
      <c r="H17" s="44"/>
      <c r="I17" s="44"/>
      <c r="J17" s="44"/>
      <c r="K17" s="44"/>
      <c r="L17" s="53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6"/>
      <c r="X17" s="44">
        <f t="shared" si="1"/>
        <v>0</v>
      </c>
      <c r="Y17" s="44"/>
      <c r="Z17" s="44"/>
      <c r="AA17" s="44">
        <f t="shared" si="2"/>
        <v>0</v>
      </c>
      <c r="AB17" s="44"/>
      <c r="AC17" s="44">
        <f t="shared" si="3"/>
        <v>-1059.29</v>
      </c>
      <c r="AD17" s="60"/>
    </row>
    <row r="18" ht="14.25" customHeight="1">
      <c r="A18" s="47">
        <v>46008.0</v>
      </c>
      <c r="B18" s="53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6"/>
      <c r="X18" s="44">
        <f t="shared" si="1"/>
        <v>0</v>
      </c>
      <c r="Y18" s="44"/>
      <c r="Z18" s="44"/>
      <c r="AA18" s="44">
        <f t="shared" si="2"/>
        <v>0</v>
      </c>
      <c r="AB18" s="44"/>
      <c r="AC18" s="44">
        <f t="shared" si="3"/>
        <v>-1059.29</v>
      </c>
      <c r="AD18" s="60"/>
    </row>
    <row r="19" ht="14.25" customHeight="1">
      <c r="A19" s="47">
        <v>46009.0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6"/>
      <c r="X19" s="44">
        <f t="shared" si="1"/>
        <v>0</v>
      </c>
      <c r="Y19" s="44"/>
      <c r="Z19" s="44"/>
      <c r="AA19" s="44">
        <f t="shared" si="2"/>
        <v>0</v>
      </c>
      <c r="AB19" s="44"/>
      <c r="AC19" s="44">
        <f t="shared" si="3"/>
        <v>-1059.29</v>
      </c>
      <c r="AD19" s="60"/>
    </row>
    <row r="20" ht="14.25" customHeight="1">
      <c r="A20" s="47">
        <v>46010.0</v>
      </c>
      <c r="B20" s="44"/>
      <c r="C20" s="44"/>
      <c r="D20" s="44"/>
      <c r="E20" s="44"/>
      <c r="F20" s="44"/>
      <c r="G20" s="44"/>
      <c r="H20" s="44"/>
      <c r="I20" s="53">
        <v>9.3</v>
      </c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6"/>
      <c r="X20" s="44">
        <f t="shared" si="1"/>
        <v>9.3</v>
      </c>
      <c r="Y20" s="44"/>
      <c r="Z20" s="44"/>
      <c r="AA20" s="44">
        <f t="shared" si="2"/>
        <v>-9.3</v>
      </c>
      <c r="AB20" s="44"/>
      <c r="AC20" s="44">
        <f t="shared" si="3"/>
        <v>-1068.59</v>
      </c>
      <c r="AD20" s="60"/>
    </row>
    <row r="21" ht="14.25" customHeight="1">
      <c r="A21" s="47">
        <v>46011.0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53"/>
      <c r="O21" s="44"/>
      <c r="P21" s="53">
        <v>10.0</v>
      </c>
      <c r="Q21" s="44"/>
      <c r="R21" s="44"/>
      <c r="S21" s="44"/>
      <c r="T21" s="44"/>
      <c r="U21" s="44"/>
      <c r="V21" s="53"/>
      <c r="W21" s="54"/>
      <c r="X21" s="44">
        <f t="shared" si="1"/>
        <v>10</v>
      </c>
      <c r="Y21" s="44"/>
      <c r="Z21" s="44"/>
      <c r="AA21" s="44">
        <f t="shared" si="2"/>
        <v>-10</v>
      </c>
      <c r="AB21" s="44"/>
      <c r="AC21" s="44">
        <f t="shared" si="3"/>
        <v>-1078.59</v>
      </c>
      <c r="AD21" s="60"/>
    </row>
    <row r="22" ht="14.25" customHeight="1">
      <c r="A22" s="48">
        <v>46012.0</v>
      </c>
      <c r="B22" s="51"/>
      <c r="C22" s="50"/>
      <c r="D22" s="50"/>
      <c r="E22" s="50"/>
      <c r="F22" s="50">
        <f>23+5+19.8</f>
        <v>47.8</v>
      </c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5" t="s">
        <v>147</v>
      </c>
      <c r="X22" s="50">
        <f t="shared" si="1"/>
        <v>47.8</v>
      </c>
      <c r="Y22" s="50">
        <f>sum(B16:B22)</f>
        <v>0</v>
      </c>
      <c r="Z22" s="50">
        <f>sum(X16:X22)</f>
        <v>107.4</v>
      </c>
      <c r="AA22" s="50">
        <f t="shared" si="2"/>
        <v>-47.8</v>
      </c>
      <c r="AB22" s="50">
        <f>Y22-Z22</f>
        <v>-107.4</v>
      </c>
      <c r="AC22" s="50">
        <f t="shared" si="3"/>
        <v>-1126.39</v>
      </c>
      <c r="AD22" s="61"/>
    </row>
    <row r="23" ht="14.25" customHeight="1">
      <c r="A23" s="47">
        <v>46013.0</v>
      </c>
      <c r="B23" s="5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6"/>
      <c r="X23" s="44">
        <f t="shared" si="1"/>
        <v>0</v>
      </c>
      <c r="Y23" s="44"/>
      <c r="Z23" s="44"/>
      <c r="AA23" s="44">
        <f t="shared" si="2"/>
        <v>0</v>
      </c>
      <c r="AB23" s="44"/>
      <c r="AC23" s="44">
        <f t="shared" si="3"/>
        <v>-1126.39</v>
      </c>
      <c r="AD23" s="60"/>
    </row>
    <row r="24" ht="14.25" customHeight="1">
      <c r="A24" s="47">
        <v>46014.0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53"/>
      <c r="P24" s="44"/>
      <c r="Q24" s="44"/>
      <c r="R24" s="44"/>
      <c r="S24" s="44"/>
      <c r="T24" s="44"/>
      <c r="U24" s="44"/>
      <c r="V24" s="53"/>
      <c r="W24" s="54"/>
      <c r="X24" s="44">
        <f t="shared" si="1"/>
        <v>0</v>
      </c>
      <c r="Y24" s="44"/>
      <c r="Z24" s="44"/>
      <c r="AA24" s="44">
        <f t="shared" si="2"/>
        <v>0</v>
      </c>
      <c r="AB24" s="44"/>
      <c r="AC24" s="44">
        <f t="shared" si="3"/>
        <v>-1126.39</v>
      </c>
      <c r="AD24" s="60"/>
    </row>
    <row r="25" ht="14.25" customHeight="1">
      <c r="A25" s="47">
        <v>46015.0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6"/>
      <c r="X25" s="44">
        <f t="shared" si="1"/>
        <v>0</v>
      </c>
      <c r="Y25" s="44"/>
      <c r="Z25" s="44"/>
      <c r="AA25" s="44">
        <f t="shared" si="2"/>
        <v>0</v>
      </c>
      <c r="AB25" s="44"/>
      <c r="AC25" s="44">
        <f t="shared" si="3"/>
        <v>-1126.39</v>
      </c>
      <c r="AD25" s="60"/>
    </row>
    <row r="26" ht="14.25" customHeight="1">
      <c r="A26" s="47">
        <v>46016.0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53"/>
      <c r="M26" s="44"/>
      <c r="N26" s="44"/>
      <c r="O26" s="44"/>
      <c r="P26" s="44"/>
      <c r="Q26" s="44"/>
      <c r="R26" s="44"/>
      <c r="S26" s="44"/>
      <c r="T26" s="44"/>
      <c r="U26" s="44"/>
      <c r="V26" s="53"/>
      <c r="W26" s="54"/>
      <c r="X26" s="44">
        <f t="shared" si="1"/>
        <v>0</v>
      </c>
      <c r="Y26" s="44"/>
      <c r="Z26" s="44"/>
      <c r="AA26" s="44">
        <f t="shared" si="2"/>
        <v>0</v>
      </c>
      <c r="AB26" s="44"/>
      <c r="AC26" s="44">
        <f t="shared" si="3"/>
        <v>-1126.39</v>
      </c>
      <c r="AD26" s="60"/>
    </row>
    <row r="27" ht="14.25" customHeight="1">
      <c r="A27" s="47">
        <v>46017.0</v>
      </c>
      <c r="B27" s="44"/>
      <c r="C27" s="44"/>
      <c r="D27" s="53"/>
      <c r="E27" s="44"/>
      <c r="F27" s="44"/>
      <c r="G27" s="44"/>
      <c r="H27" s="44"/>
      <c r="I27" s="44"/>
      <c r="J27" s="44"/>
      <c r="K27" s="44"/>
      <c r="L27" s="53">
        <v>21.38</v>
      </c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6"/>
      <c r="X27" s="44">
        <f t="shared" si="1"/>
        <v>21.38</v>
      </c>
      <c r="Y27" s="44"/>
      <c r="Z27" s="44"/>
      <c r="AA27" s="44">
        <f t="shared" si="2"/>
        <v>-21.38</v>
      </c>
      <c r="AB27" s="44"/>
      <c r="AC27" s="44">
        <f t="shared" si="3"/>
        <v>-1147.77</v>
      </c>
      <c r="AD27" s="60"/>
    </row>
    <row r="28" ht="14.25" customHeight="1">
      <c r="A28" s="47">
        <v>46018.0</v>
      </c>
      <c r="B28" s="44"/>
      <c r="C28" s="44"/>
      <c r="D28" s="44"/>
      <c r="E28" s="44"/>
      <c r="F28" s="44"/>
      <c r="G28" s="44"/>
      <c r="H28" s="44"/>
      <c r="I28" s="44"/>
      <c r="J28" s="44"/>
      <c r="K28" s="53">
        <f>27.8+5.5</f>
        <v>33.3</v>
      </c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6"/>
      <c r="X28" s="44">
        <f t="shared" si="1"/>
        <v>33.3</v>
      </c>
      <c r="Y28" s="44"/>
      <c r="Z28" s="44"/>
      <c r="AA28" s="44">
        <f t="shared" si="2"/>
        <v>-33.3</v>
      </c>
      <c r="AB28" s="44"/>
      <c r="AC28" s="44">
        <f t="shared" si="3"/>
        <v>-1181.07</v>
      </c>
      <c r="AD28" s="60"/>
    </row>
    <row r="29" ht="14.25" customHeight="1">
      <c r="A29" s="48">
        <v>46019.0</v>
      </c>
      <c r="B29" s="50"/>
      <c r="C29" s="50"/>
      <c r="D29" s="50"/>
      <c r="E29" s="50"/>
      <c r="F29" s="51">
        <v>13.0</v>
      </c>
      <c r="G29" s="50"/>
      <c r="H29" s="50"/>
      <c r="I29" s="50"/>
      <c r="J29" s="50"/>
      <c r="K29" s="51">
        <v>71.2</v>
      </c>
      <c r="L29" s="50"/>
      <c r="M29" s="50"/>
      <c r="N29" s="50"/>
      <c r="O29" s="50"/>
      <c r="P29" s="51">
        <v>30.0</v>
      </c>
      <c r="Q29" s="50"/>
      <c r="R29" s="50"/>
      <c r="S29" s="50"/>
      <c r="T29" s="50"/>
      <c r="U29" s="50"/>
      <c r="V29" s="50"/>
      <c r="W29" s="55" t="s">
        <v>146</v>
      </c>
      <c r="X29" s="50">
        <f t="shared" si="1"/>
        <v>114.2</v>
      </c>
      <c r="Y29" s="50">
        <f>sum(B23:B29)</f>
        <v>0</v>
      </c>
      <c r="Z29" s="50">
        <f>sum(X23:X29)</f>
        <v>168.88</v>
      </c>
      <c r="AA29" s="50">
        <f t="shared" si="2"/>
        <v>-114.2</v>
      </c>
      <c r="AB29" s="50">
        <f>Y29-Z29</f>
        <v>-168.88</v>
      </c>
      <c r="AC29" s="50">
        <f t="shared" si="3"/>
        <v>-1295.27</v>
      </c>
      <c r="AD29" s="61"/>
    </row>
    <row r="30" ht="14.25" customHeight="1">
      <c r="A30" s="47">
        <v>46020.0</v>
      </c>
      <c r="B30" s="44"/>
      <c r="C30" s="44"/>
      <c r="D30" s="44"/>
      <c r="E30" s="44"/>
      <c r="F30" s="53">
        <v>30.0</v>
      </c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6"/>
      <c r="X30" s="44">
        <f t="shared" si="1"/>
        <v>30</v>
      </c>
      <c r="Y30" s="44"/>
      <c r="Z30" s="44"/>
      <c r="AA30" s="44">
        <f t="shared" si="2"/>
        <v>-30</v>
      </c>
      <c r="AB30" s="44"/>
      <c r="AC30" s="44">
        <f t="shared" si="3"/>
        <v>-1325.27</v>
      </c>
      <c r="AD30" s="60"/>
    </row>
    <row r="31" ht="14.25" customHeight="1">
      <c r="A31" s="47">
        <v>46021.0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6"/>
      <c r="X31" s="44">
        <f t="shared" si="1"/>
        <v>0</v>
      </c>
      <c r="Y31" s="44">
        <f>sum(B30:B31)</f>
        <v>0</v>
      </c>
      <c r="Z31" s="44">
        <f>sum(X30:X31)</f>
        <v>30</v>
      </c>
      <c r="AA31" s="44">
        <f t="shared" si="2"/>
        <v>0</v>
      </c>
      <c r="AB31" s="44">
        <f>Y31-Z31</f>
        <v>-30</v>
      </c>
      <c r="AC31" s="44">
        <f t="shared" si="3"/>
        <v>-1325.27</v>
      </c>
      <c r="AD31" s="60"/>
    </row>
    <row r="32" ht="14.25" customHeight="1">
      <c r="A32" s="47">
        <v>46022.0</v>
      </c>
      <c r="B32" s="44"/>
      <c r="C32" s="44"/>
      <c r="D32" s="44"/>
      <c r="E32" s="44"/>
      <c r="F32" s="53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6"/>
      <c r="X32" s="44"/>
      <c r="Y32" s="44"/>
      <c r="Z32" s="44"/>
      <c r="AA32" s="44"/>
      <c r="AB32" s="44"/>
      <c r="AC32" s="44"/>
      <c r="AD32" s="60"/>
    </row>
    <row r="33" ht="14.2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6"/>
      <c r="X33" s="44"/>
      <c r="Y33" s="44"/>
      <c r="Z33" s="44"/>
      <c r="AA33" s="44"/>
      <c r="AB33" s="44"/>
      <c r="AC33" s="44"/>
      <c r="AD33" s="60"/>
    </row>
    <row r="34" ht="14.25" customHeight="1">
      <c r="A34" s="44" t="str">
        <f>count(B2:B32,"number")&amp;" "&amp;"/"&amp;" "&amp;countif(B2:B32,"")</f>
        <v>0 / 31</v>
      </c>
      <c r="B34" s="44">
        <f t="shared" ref="B34:U34" si="4">SUM(B2:B33)</f>
        <v>0</v>
      </c>
      <c r="C34" s="44">
        <f t="shared" si="4"/>
        <v>0</v>
      </c>
      <c r="D34" s="44">
        <f t="shared" si="4"/>
        <v>0</v>
      </c>
      <c r="E34" s="44">
        <f t="shared" si="4"/>
        <v>0</v>
      </c>
      <c r="F34" s="44">
        <f t="shared" si="4"/>
        <v>165.55</v>
      </c>
      <c r="G34" s="44">
        <f t="shared" si="4"/>
        <v>0</v>
      </c>
      <c r="H34" s="44">
        <f t="shared" si="4"/>
        <v>0</v>
      </c>
      <c r="I34" s="44">
        <f t="shared" si="4"/>
        <v>18.6</v>
      </c>
      <c r="J34" s="44">
        <f t="shared" si="4"/>
        <v>34</v>
      </c>
      <c r="K34" s="44">
        <f t="shared" si="4"/>
        <v>304.95</v>
      </c>
      <c r="L34" s="44">
        <f t="shared" si="4"/>
        <v>212.26</v>
      </c>
      <c r="M34" s="44">
        <f t="shared" si="4"/>
        <v>0</v>
      </c>
      <c r="N34" s="44">
        <f t="shared" si="4"/>
        <v>21.4</v>
      </c>
      <c r="O34" s="44">
        <f t="shared" si="4"/>
        <v>0</v>
      </c>
      <c r="P34" s="44">
        <f t="shared" si="4"/>
        <v>40</v>
      </c>
      <c r="Q34" s="44">
        <f t="shared" si="4"/>
        <v>0</v>
      </c>
      <c r="R34" s="44">
        <f t="shared" si="4"/>
        <v>350</v>
      </c>
      <c r="S34" s="44">
        <f t="shared" si="4"/>
        <v>38.35</v>
      </c>
      <c r="T34" s="44">
        <f t="shared" si="4"/>
        <v>0</v>
      </c>
      <c r="U34" s="44">
        <f t="shared" si="4"/>
        <v>140.16</v>
      </c>
      <c r="V34" s="44"/>
      <c r="W34" s="46"/>
      <c r="X34" s="44">
        <f>SUM(X2:X33)</f>
        <v>1325.27</v>
      </c>
      <c r="Y34" s="44"/>
      <c r="Z34" s="44"/>
      <c r="AA34" s="44"/>
      <c r="AB34" s="44"/>
      <c r="AC34" s="44"/>
      <c r="AD34" s="60"/>
    </row>
    <row r="35" ht="14.25" customHeight="1">
      <c r="A35" s="57" t="s">
        <v>62</v>
      </c>
      <c r="B35" s="65">
        <f>B34-(C34+D34+E34+F34+G34+H34+I34+J34+K34+L34+M34+N34+O34+P34+Q34+R34+S34+T34+U34)</f>
        <v>-1325.27</v>
      </c>
      <c r="C35" s="44"/>
      <c r="D35" s="44">
        <f>D34+E34</f>
        <v>0</v>
      </c>
      <c r="F35" s="44">
        <f>G34+F34</f>
        <v>165.55</v>
      </c>
      <c r="H35" s="44"/>
      <c r="I35" s="44"/>
      <c r="J35" s="66" t="s">
        <v>80</v>
      </c>
      <c r="K35" s="67" t="s">
        <v>81</v>
      </c>
      <c r="L35" s="68" t="s">
        <v>82</v>
      </c>
      <c r="M35" s="69" t="s">
        <v>83</v>
      </c>
      <c r="N35" s="70" t="s">
        <v>84</v>
      </c>
      <c r="O35" s="71" t="s">
        <v>85</v>
      </c>
      <c r="P35" s="44"/>
      <c r="Q35" s="44"/>
      <c r="R35" s="44"/>
      <c r="S35" s="44"/>
      <c r="T35" s="44"/>
      <c r="U35" s="44"/>
      <c r="V35" s="44"/>
      <c r="W35" s="46" t="s">
        <v>63</v>
      </c>
      <c r="X35" s="46"/>
      <c r="Y35" s="46"/>
      <c r="Z35" s="46"/>
      <c r="AA35" s="46"/>
      <c r="AB35" s="59" t="str">
        <f>B35/B34</f>
        <v>#DIV/0!</v>
      </c>
      <c r="AC35" s="59"/>
      <c r="AD35" s="60"/>
    </row>
  </sheetData>
  <mergeCells count="4">
    <mergeCell ref="D1:E1"/>
    <mergeCell ref="F1:G1"/>
    <mergeCell ref="D35:E35"/>
    <mergeCell ref="F35:G35"/>
  </mergeCells>
  <conditionalFormatting sqref="AC2:AC32">
    <cfRule type="cellIs" dxfId="2" priority="1" operator="lessThan">
      <formula>1000</formula>
    </cfRule>
  </conditionalFormatting>
  <conditionalFormatting sqref="AC2:AC32">
    <cfRule type="cellIs" dxfId="3" priority="2" operator="lessThan">
      <formula>2000</formula>
    </cfRule>
  </conditionalFormatting>
  <conditionalFormatting sqref="AC2:AC32">
    <cfRule type="cellIs" dxfId="4" priority="3" operator="lessThan">
      <formula>3000</formula>
    </cfRule>
  </conditionalFormatting>
  <conditionalFormatting sqref="AC2:AC32">
    <cfRule type="cellIs" dxfId="5" priority="4" operator="lessThan">
      <formula>4000</formula>
    </cfRule>
  </conditionalFormatting>
  <conditionalFormatting sqref="AC2:AC32">
    <cfRule type="cellIs" dxfId="6" priority="5" operator="lessThan">
      <formula>5000</formula>
    </cfRule>
  </conditionalFormatting>
  <conditionalFormatting sqref="AC2:AC32">
    <cfRule type="cellIs" dxfId="7" priority="6" operator="lessThan">
      <formula>6000</formula>
    </cfRule>
  </conditionalFormatting>
  <conditionalFormatting sqref="AC2:AC32">
    <cfRule type="cellIs" dxfId="8" priority="7" operator="greaterThan">
      <formula>6000</formula>
    </cfRule>
  </conditionalFormatting>
  <conditionalFormatting sqref="B2:B32">
    <cfRule type="cellIs" dxfId="9" priority="8" operator="between">
      <formula>0</formula>
      <formula>99.99</formula>
    </cfRule>
  </conditionalFormatting>
  <conditionalFormatting sqref="B2:B32">
    <cfRule type="cellIs" dxfId="3" priority="9" operator="between">
      <formula>100</formula>
      <formula>199.99</formula>
    </cfRule>
  </conditionalFormatting>
  <conditionalFormatting sqref="B2:B32">
    <cfRule type="cellIs" dxfId="10" priority="10" operator="between">
      <formula>200</formula>
      <formula>299.99</formula>
    </cfRule>
  </conditionalFormatting>
  <conditionalFormatting sqref="B2:B32">
    <cfRule type="cellIs" dxfId="5" priority="11" operator="between">
      <formula>300</formula>
      <formula>399.99</formula>
    </cfRule>
  </conditionalFormatting>
  <conditionalFormatting sqref="B2:B32">
    <cfRule type="cellIs" dxfId="6" priority="12" operator="between">
      <formula>400</formula>
      <formula>499.99</formula>
    </cfRule>
  </conditionalFormatting>
  <conditionalFormatting sqref="B2:B32">
    <cfRule type="cellIs" dxfId="7" priority="13" operator="greaterThan">
      <formula>500</formula>
    </cfRule>
  </conditionalFormatting>
  <conditionalFormatting sqref="AA2:AA31">
    <cfRule type="cellIs" dxfId="0" priority="14" operator="greaterThan">
      <formula>0</formula>
    </cfRule>
  </conditionalFormatting>
  <conditionalFormatting sqref="AA2:AA31">
    <cfRule type="cellIs" dxfId="11" priority="15" operator="lessThan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1"/>
      <c r="B2" s="36" t="s">
        <v>148</v>
      </c>
      <c r="C2" s="82" t="s">
        <v>149</v>
      </c>
      <c r="D2" s="82" t="s">
        <v>150</v>
      </c>
      <c r="E2" s="82" t="s">
        <v>151</v>
      </c>
      <c r="F2" s="82" t="s">
        <v>152</v>
      </c>
    </row>
    <row r="3">
      <c r="A3" s="36" t="s">
        <v>153</v>
      </c>
      <c r="B3" s="36">
        <v>507.04</v>
      </c>
      <c r="C3" s="82">
        <v>426.54</v>
      </c>
      <c r="D3" s="82">
        <v>339.34</v>
      </c>
      <c r="E3" s="82">
        <v>315.34</v>
      </c>
      <c r="G3" s="82">
        <v>262.34</v>
      </c>
      <c r="H3" s="82">
        <v>194.84</v>
      </c>
    </row>
    <row r="4">
      <c r="A4" s="36" t="s">
        <v>154</v>
      </c>
      <c r="B4" s="36">
        <v>558.03</v>
      </c>
      <c r="C4" s="82">
        <v>678.78</v>
      </c>
      <c r="D4" s="82">
        <v>309.6</v>
      </c>
    </row>
    <row r="5">
      <c r="A5" s="36" t="s">
        <v>155</v>
      </c>
      <c r="B5" s="36">
        <v>265383.0</v>
      </c>
      <c r="C5" s="82">
        <v>265821.0</v>
      </c>
      <c r="D5" s="82">
        <v>266700.0</v>
      </c>
      <c r="E5" s="82">
        <v>266976.0</v>
      </c>
      <c r="G5" s="82">
        <v>267317.0</v>
      </c>
      <c r="I5" s="82">
        <v>268316.0</v>
      </c>
    </row>
    <row r="6">
      <c r="A6" s="36" t="s">
        <v>156</v>
      </c>
      <c r="B6" s="89">
        <v>0.2847222222222222</v>
      </c>
      <c r="C6" s="90">
        <v>0.3472222222222222</v>
      </c>
      <c r="D6" s="90">
        <v>0.3125</v>
      </c>
      <c r="E6" s="90">
        <v>0.375</v>
      </c>
      <c r="G6" s="90">
        <v>0.3055555555555556</v>
      </c>
    </row>
    <row r="7">
      <c r="A7" s="36" t="s">
        <v>157</v>
      </c>
      <c r="B7" s="89">
        <v>0.9930555555555556</v>
      </c>
      <c r="C7" s="90">
        <v>0.5</v>
      </c>
      <c r="D7" s="90">
        <v>0.875</v>
      </c>
      <c r="E7" s="90">
        <v>0.7916666666666666</v>
      </c>
    </row>
    <row r="8">
      <c r="A8" s="36" t="s">
        <v>158</v>
      </c>
      <c r="B8" s="36">
        <v>1155.65</v>
      </c>
      <c r="C8" s="82">
        <v>1507.05</v>
      </c>
    </row>
    <row r="12">
      <c r="C12" s="91">
        <f t="shared" ref="C12:D12" si="1">B5-C5</f>
        <v>-438</v>
      </c>
      <c r="D12" s="91">
        <f t="shared" si="1"/>
        <v>-879</v>
      </c>
    </row>
    <row r="17">
      <c r="A17" s="36" t="s">
        <v>53</v>
      </c>
      <c r="B17" s="36" t="s">
        <v>1</v>
      </c>
      <c r="C17" s="82" t="s">
        <v>2</v>
      </c>
    </row>
    <row r="18">
      <c r="A18" s="92">
        <v>45689.0</v>
      </c>
      <c r="B18" s="36"/>
      <c r="C18" s="91">
        <v>402.5</v>
      </c>
    </row>
    <row r="19">
      <c r="A19" s="92">
        <v>45690.0</v>
      </c>
      <c r="B19" s="36">
        <v>316.8</v>
      </c>
      <c r="C19" s="91">
        <v>94.8</v>
      </c>
    </row>
    <row r="20">
      <c r="A20" s="92">
        <v>45691.0</v>
      </c>
      <c r="B20" s="36">
        <v>417.8</v>
      </c>
      <c r="C20" s="91">
        <v>83.2</v>
      </c>
    </row>
    <row r="21">
      <c r="A21" s="92">
        <v>45692.0</v>
      </c>
      <c r="B21" s="36">
        <v>90.4</v>
      </c>
      <c r="C21" s="91">
        <v>65.5</v>
      </c>
    </row>
    <row r="22">
      <c r="A22" s="92">
        <v>45693.0</v>
      </c>
      <c r="B22" s="36">
        <v>124.6</v>
      </c>
      <c r="C22" s="91">
        <v>83.71</v>
      </c>
    </row>
    <row r="23">
      <c r="A23" s="92">
        <v>45694.0</v>
      </c>
      <c r="B23" s="36">
        <v>180.4</v>
      </c>
      <c r="C23" s="91">
        <v>115.83</v>
      </c>
    </row>
    <row r="24">
      <c r="A24" s="92">
        <v>45695.0</v>
      </c>
      <c r="B24" s="41"/>
      <c r="C24" s="91">
        <v>60.879999999999995</v>
      </c>
    </row>
    <row r="25">
      <c r="A25" s="92">
        <v>45696.0</v>
      </c>
      <c r="B25" s="36">
        <v>12.8</v>
      </c>
      <c r="C25" s="91">
        <v>22.5</v>
      </c>
    </row>
    <row r="26">
      <c r="A26" s="92">
        <v>45697.0</v>
      </c>
      <c r="B26" s="41"/>
      <c r="C26" s="91">
        <v>131.89999999999998</v>
      </c>
    </row>
    <row r="27">
      <c r="A27" s="92">
        <v>45698.0</v>
      </c>
      <c r="B27" s="36">
        <v>550.7</v>
      </c>
      <c r="C27" s="91">
        <v>88.2</v>
      </c>
    </row>
    <row r="28">
      <c r="A28" s="92">
        <v>45699.0</v>
      </c>
      <c r="B28" s="36">
        <v>162.4</v>
      </c>
      <c r="C28" s="91">
        <v>74.0</v>
      </c>
    </row>
    <row r="29">
      <c r="A29" s="92">
        <v>45700.0</v>
      </c>
      <c r="B29" s="36">
        <v>292.4</v>
      </c>
      <c r="C29" s="91">
        <v>100.4</v>
      </c>
    </row>
    <row r="30">
      <c r="A30" s="92">
        <v>45701.0</v>
      </c>
      <c r="B30" s="36">
        <v>392.1</v>
      </c>
      <c r="C30" s="91">
        <v>92.52000000000001</v>
      </c>
    </row>
    <row r="31">
      <c r="A31" s="92">
        <v>45702.0</v>
      </c>
      <c r="B31" s="36">
        <v>178.2</v>
      </c>
      <c r="C31" s="91">
        <v>97.01</v>
      </c>
    </row>
    <row r="32">
      <c r="A32" s="92">
        <v>45703.0</v>
      </c>
      <c r="B32" s="36">
        <v>102.5</v>
      </c>
      <c r="C32" s="91">
        <v>41.5</v>
      </c>
    </row>
    <row r="33">
      <c r="A33" s="92">
        <v>45704.0</v>
      </c>
      <c r="B33" s="41"/>
      <c r="C33" s="91">
        <v>104.0</v>
      </c>
    </row>
    <row r="34">
      <c r="A34" s="92">
        <v>45705.0</v>
      </c>
      <c r="B34" s="36">
        <v>423.1</v>
      </c>
      <c r="C34" s="91">
        <v>78.7</v>
      </c>
    </row>
    <row r="35">
      <c r="A35" s="92">
        <v>45706.0</v>
      </c>
      <c r="B35" s="36">
        <v>371.2</v>
      </c>
      <c r="C35" s="91">
        <v>90.03</v>
      </c>
    </row>
    <row r="36">
      <c r="A36" s="92">
        <v>45707.0</v>
      </c>
      <c r="B36" s="36">
        <v>309.6</v>
      </c>
      <c r="C36" s="91">
        <v>87.0</v>
      </c>
    </row>
    <row r="37">
      <c r="A37" s="92">
        <v>45708.0</v>
      </c>
      <c r="B37" s="36">
        <v>110.4</v>
      </c>
      <c r="C37" s="91">
        <v>106.47</v>
      </c>
    </row>
    <row r="38">
      <c r="A38" s="92">
        <v>45709.0</v>
      </c>
      <c r="B38" s="36">
        <v>270.4</v>
      </c>
      <c r="C38" s="91">
        <v>92.9</v>
      </c>
    </row>
    <row r="39">
      <c r="A39" s="92">
        <v>45710.0</v>
      </c>
      <c r="B39" s="36">
        <v>479.4</v>
      </c>
      <c r="C39" s="91">
        <v>84.3</v>
      </c>
    </row>
    <row r="40">
      <c r="A40" s="92">
        <v>45711.0</v>
      </c>
      <c r="B40" s="36">
        <v>105.9</v>
      </c>
      <c r="C40" s="91">
        <v>90.3</v>
      </c>
    </row>
    <row r="41">
      <c r="A41" s="92">
        <v>45712.0</v>
      </c>
      <c r="B41" s="36">
        <v>110.4</v>
      </c>
      <c r="C41" s="91">
        <v>51.8</v>
      </c>
    </row>
    <row r="42">
      <c r="A42" s="92">
        <v>45713.0</v>
      </c>
      <c r="B42" s="36"/>
      <c r="C42" s="91">
        <v>541.6</v>
      </c>
    </row>
    <row r="43">
      <c r="A43" s="92">
        <v>45714.0</v>
      </c>
      <c r="B43" s="41"/>
      <c r="C43" s="91">
        <v>0.0</v>
      </c>
    </row>
    <row r="44">
      <c r="A44" s="92">
        <v>45715.0</v>
      </c>
      <c r="B44" s="36"/>
      <c r="C44" s="91">
        <v>0.0</v>
      </c>
    </row>
    <row r="45">
      <c r="A45" s="92">
        <v>45716.0</v>
      </c>
      <c r="B45" s="36"/>
      <c r="C45" s="91">
        <v>0.0</v>
      </c>
    </row>
    <row r="46">
      <c r="A46" s="41"/>
      <c r="B46" s="41"/>
    </row>
    <row r="47">
      <c r="A47" s="41"/>
      <c r="B47" s="41"/>
    </row>
    <row r="48">
      <c r="A48" s="41"/>
      <c r="B48" s="41"/>
    </row>
    <row r="49">
      <c r="A49" s="41"/>
      <c r="B49" s="41"/>
    </row>
    <row r="50">
      <c r="A50" s="41"/>
      <c r="B50" s="4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2" t="s">
        <v>159</v>
      </c>
    </row>
    <row r="2">
      <c r="A2" s="82" t="s">
        <v>160</v>
      </c>
      <c r="B2" s="93">
        <f>April!AH7</f>
        <v>1485.2</v>
      </c>
    </row>
    <row r="3">
      <c r="A3" s="82" t="s">
        <v>161</v>
      </c>
      <c r="B3" s="93">
        <f>April!AH14</f>
        <v>2559.42</v>
      </c>
    </row>
    <row r="4">
      <c r="A4" s="82" t="s">
        <v>162</v>
      </c>
      <c r="B4" s="93">
        <f>April!AH21</f>
        <v>2405.8</v>
      </c>
    </row>
    <row r="5">
      <c r="A5" s="82" t="s">
        <v>163</v>
      </c>
      <c r="B5" s="93">
        <f>April!AH28</f>
        <v>1875.4</v>
      </c>
    </row>
    <row r="6">
      <c r="A6" s="82" t="s">
        <v>164</v>
      </c>
      <c r="B6" s="93">
        <f>May!Y5</f>
        <v>2206.2</v>
      </c>
    </row>
    <row r="7">
      <c r="A7" s="82" t="s">
        <v>165</v>
      </c>
      <c r="B7" s="93">
        <f>May!Y12</f>
        <v>2217</v>
      </c>
    </row>
    <row r="8">
      <c r="A8" s="82" t="s">
        <v>166</v>
      </c>
      <c r="B8" s="93">
        <f>May!Y19</f>
        <v>1839.04</v>
      </c>
    </row>
    <row r="9">
      <c r="A9" s="82" t="s">
        <v>167</v>
      </c>
      <c r="B9" s="93">
        <f>May!Y26</f>
        <v>2312.41</v>
      </c>
    </row>
    <row r="10">
      <c r="A10" s="82" t="s">
        <v>168</v>
      </c>
      <c r="B10" s="93">
        <f>June!Y2</f>
        <v>252.8</v>
      </c>
    </row>
    <row r="11">
      <c r="A11" s="82" t="s">
        <v>169</v>
      </c>
      <c r="B11" s="93"/>
    </row>
    <row r="12">
      <c r="A12" s="82" t="s">
        <v>170</v>
      </c>
      <c r="B12" s="93"/>
    </row>
    <row r="13">
      <c r="A13" s="82" t="s">
        <v>171</v>
      </c>
      <c r="B13" s="93"/>
    </row>
    <row r="14">
      <c r="A14" s="82" t="s">
        <v>172</v>
      </c>
      <c r="B14" s="93"/>
    </row>
    <row r="15">
      <c r="A15" s="82" t="s">
        <v>173</v>
      </c>
      <c r="B15" s="93"/>
    </row>
    <row r="16">
      <c r="A16" s="82" t="s">
        <v>174</v>
      </c>
      <c r="B16" s="93"/>
    </row>
    <row r="17">
      <c r="A17" s="82" t="s">
        <v>175</v>
      </c>
      <c r="B17" s="93"/>
    </row>
    <row r="18">
      <c r="A18" s="82" t="s">
        <v>176</v>
      </c>
      <c r="B18" s="93"/>
    </row>
    <row r="19">
      <c r="A19" s="82" t="s">
        <v>177</v>
      </c>
      <c r="B19" s="93"/>
    </row>
    <row r="20">
      <c r="A20" s="82" t="s">
        <v>178</v>
      </c>
      <c r="B20" s="93"/>
    </row>
    <row r="21">
      <c r="A21" s="82" t="s">
        <v>179</v>
      </c>
      <c r="B21" s="93"/>
    </row>
    <row r="22">
      <c r="A22" s="82" t="s">
        <v>180</v>
      </c>
      <c r="B22" s="93"/>
    </row>
    <row r="23">
      <c r="A23" s="82" t="s">
        <v>181</v>
      </c>
      <c r="B23" s="93"/>
    </row>
    <row r="24">
      <c r="A24" s="82" t="s">
        <v>182</v>
      </c>
      <c r="B24" s="93"/>
    </row>
    <row r="25">
      <c r="A25" s="82" t="s">
        <v>183</v>
      </c>
      <c r="B25" s="9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</cols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6.75"/>
    <col customWidth="1" min="3" max="4" width="6.0"/>
    <col customWidth="1" min="5" max="6" width="6.5"/>
    <col customWidth="1" min="7" max="8" width="6.63"/>
    <col customWidth="1" min="9" max="10" width="7.25"/>
    <col customWidth="1" min="11" max="11" width="10.5"/>
    <col customWidth="1" min="12" max="12" width="6.88"/>
    <col customWidth="1" min="13" max="13" width="10.13"/>
    <col customWidth="1" min="14" max="14" width="6.5"/>
    <col customWidth="1" min="15" max="16" width="9.25"/>
    <col customWidth="1" min="17" max="19" width="7.38"/>
    <col customWidth="1" min="20" max="22" width="6.38"/>
    <col customWidth="1" min="23" max="23" width="27.0"/>
    <col customWidth="1" min="24" max="24" width="9.0"/>
    <col customWidth="1" min="25" max="25" width="11.5"/>
    <col customWidth="1" min="26" max="27" width="10.63"/>
    <col customWidth="1" min="28" max="28" width="9.5"/>
  </cols>
  <sheetData>
    <row r="1" ht="14.25" customHeight="1">
      <c r="A1" s="3" t="s">
        <v>53</v>
      </c>
      <c r="B1" s="3" t="s">
        <v>1</v>
      </c>
      <c r="C1" s="3" t="s">
        <v>184</v>
      </c>
      <c r="D1" s="3" t="s">
        <v>16</v>
      </c>
      <c r="E1" s="3" t="s">
        <v>17</v>
      </c>
      <c r="G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32</v>
      </c>
      <c r="U1" s="3" t="s">
        <v>34</v>
      </c>
      <c r="V1" s="3" t="s">
        <v>36</v>
      </c>
      <c r="W1" s="29" t="s">
        <v>54</v>
      </c>
      <c r="X1" s="3" t="s">
        <v>2</v>
      </c>
      <c r="Y1" s="3" t="s">
        <v>55</v>
      </c>
      <c r="Z1" s="3" t="s">
        <v>56</v>
      </c>
      <c r="AA1" s="3" t="s">
        <v>57</v>
      </c>
      <c r="AB1" s="3" t="s">
        <v>58</v>
      </c>
    </row>
    <row r="2" ht="14.25" customHeight="1">
      <c r="A2" s="30">
        <v>45689.0</v>
      </c>
      <c r="B2" s="3"/>
      <c r="C2" s="3" t="s">
        <v>185</v>
      </c>
      <c r="D2" s="3"/>
      <c r="E2" s="3"/>
      <c r="F2" s="2"/>
      <c r="G2" s="3">
        <v>15.5</v>
      </c>
      <c r="H2" s="3"/>
      <c r="I2" s="3"/>
      <c r="J2" s="2"/>
      <c r="K2" s="3"/>
      <c r="L2" s="3">
        <v>7.0</v>
      </c>
      <c r="M2" s="2"/>
      <c r="N2" s="2"/>
      <c r="O2" s="2"/>
      <c r="P2" s="2"/>
      <c r="Q2" s="3">
        <v>30.0</v>
      </c>
      <c r="R2" s="3"/>
      <c r="S2" s="3">
        <v>350.0</v>
      </c>
      <c r="T2" s="2"/>
      <c r="U2" s="2"/>
      <c r="V2" s="2"/>
      <c r="W2" s="29" t="s">
        <v>59</v>
      </c>
      <c r="X2" s="2">
        <f>SUM(D2:W2)</f>
        <v>402.5</v>
      </c>
      <c r="Y2" s="2"/>
      <c r="Z2" s="2"/>
      <c r="AA2" s="2">
        <f t="shared" ref="AA2:AA32" si="1">B2-X2</f>
        <v>-402.5</v>
      </c>
      <c r="AB2" s="2"/>
    </row>
    <row r="3" ht="14.25" customHeight="1">
      <c r="A3" s="31">
        <v>45690.0</v>
      </c>
      <c r="B3" s="32">
        <v>316.8</v>
      </c>
      <c r="C3" s="32" t="s">
        <v>186</v>
      </c>
      <c r="D3" s="32">
        <v>5.0</v>
      </c>
      <c r="E3" s="32">
        <v>60.0</v>
      </c>
      <c r="F3" s="33"/>
      <c r="G3" s="32">
        <v>14.5</v>
      </c>
      <c r="H3" s="33"/>
      <c r="I3" s="33"/>
      <c r="J3" s="33"/>
      <c r="K3" s="32"/>
      <c r="L3" s="32">
        <v>3.3</v>
      </c>
      <c r="M3" s="33"/>
      <c r="N3" s="33"/>
      <c r="O3" s="33"/>
      <c r="P3" s="32">
        <v>12.0</v>
      </c>
      <c r="Q3" s="33"/>
      <c r="R3" s="33"/>
      <c r="S3" s="33"/>
      <c r="T3" s="33"/>
      <c r="U3" s="33"/>
      <c r="V3" s="33"/>
      <c r="W3" s="34"/>
      <c r="X3" s="33">
        <f t="shared" ref="X3:X31" si="2">SUM(D3:U3)</f>
        <v>94.8</v>
      </c>
      <c r="Y3" s="33">
        <f>B2+B3</f>
        <v>316.8</v>
      </c>
      <c r="Z3" s="33">
        <f>sum(D2:U3)</f>
        <v>497.3</v>
      </c>
      <c r="AA3" s="33">
        <f t="shared" si="1"/>
        <v>222</v>
      </c>
      <c r="AB3" s="33">
        <f>Y3-Z3</f>
        <v>-180.5</v>
      </c>
    </row>
    <row r="4" ht="14.25" customHeight="1">
      <c r="A4" s="30">
        <v>45691.0</v>
      </c>
      <c r="B4" s="3">
        <v>417.8</v>
      </c>
      <c r="C4" s="3" t="s">
        <v>187</v>
      </c>
      <c r="D4" s="3">
        <v>5.0</v>
      </c>
      <c r="E4" s="3">
        <v>60.0</v>
      </c>
      <c r="F4" s="2"/>
      <c r="G4" s="3">
        <v>12.0</v>
      </c>
      <c r="H4" s="2"/>
      <c r="I4" s="2"/>
      <c r="J4" s="2"/>
      <c r="K4" s="2"/>
      <c r="L4" s="3">
        <v>6.2</v>
      </c>
      <c r="M4" s="2"/>
      <c r="N4" s="2"/>
      <c r="O4" s="2"/>
      <c r="P4" s="2"/>
      <c r="Q4" s="2"/>
      <c r="R4" s="2"/>
      <c r="S4" s="3"/>
      <c r="T4" s="2"/>
      <c r="U4" s="2"/>
      <c r="V4" s="2"/>
      <c r="W4" s="35"/>
      <c r="X4" s="2">
        <f t="shared" si="2"/>
        <v>83.2</v>
      </c>
      <c r="Y4" s="2"/>
      <c r="Z4" s="2"/>
      <c r="AA4" s="2">
        <f t="shared" si="1"/>
        <v>334.6</v>
      </c>
      <c r="AB4" s="2"/>
    </row>
    <row r="5" ht="14.25" customHeight="1">
      <c r="A5" s="30">
        <v>45692.0</v>
      </c>
      <c r="B5" s="3">
        <v>90.4</v>
      </c>
      <c r="C5" s="3" t="s">
        <v>188</v>
      </c>
      <c r="D5" s="3">
        <v>5.0</v>
      </c>
      <c r="E5" s="3"/>
      <c r="F5" s="3"/>
      <c r="G5" s="3">
        <v>13.0</v>
      </c>
      <c r="H5" s="3">
        <v>10.8</v>
      </c>
      <c r="I5" s="2"/>
      <c r="J5" s="2"/>
      <c r="K5" s="2"/>
      <c r="L5" s="3">
        <v>26.7</v>
      </c>
      <c r="M5" s="2"/>
      <c r="N5" s="2"/>
      <c r="O5" s="2"/>
      <c r="P5" s="2"/>
      <c r="Q5" s="3">
        <v>10.0</v>
      </c>
      <c r="R5" s="3"/>
      <c r="S5" s="2"/>
      <c r="T5" s="2"/>
      <c r="U5" s="2"/>
      <c r="V5" s="2"/>
      <c r="W5" s="35"/>
      <c r="X5" s="2">
        <f t="shared" si="2"/>
        <v>65.5</v>
      </c>
      <c r="Y5" s="2"/>
      <c r="Z5" s="2"/>
      <c r="AA5" s="2">
        <f t="shared" si="1"/>
        <v>24.9</v>
      </c>
      <c r="AB5" s="2"/>
    </row>
    <row r="6" ht="14.25" customHeight="1">
      <c r="A6" s="30">
        <v>45693.0</v>
      </c>
      <c r="B6" s="3">
        <v>124.6</v>
      </c>
      <c r="C6" s="3" t="s">
        <v>189</v>
      </c>
      <c r="D6" s="3">
        <v>5.0</v>
      </c>
      <c r="E6" s="3">
        <v>60.0</v>
      </c>
      <c r="F6" s="2"/>
      <c r="G6" s="3">
        <v>9.0</v>
      </c>
      <c r="H6" s="2"/>
      <c r="I6" s="2"/>
      <c r="J6" s="3">
        <f>3.2+4.51</f>
        <v>7.71</v>
      </c>
      <c r="K6" s="2"/>
      <c r="L6" s="3">
        <v>1.0</v>
      </c>
      <c r="M6" s="2"/>
      <c r="N6" s="2"/>
      <c r="O6" s="2"/>
      <c r="P6" s="3">
        <v>1.0</v>
      </c>
      <c r="Q6" s="2"/>
      <c r="R6" s="2"/>
      <c r="S6" s="2"/>
      <c r="T6" s="2"/>
      <c r="U6" s="2"/>
      <c r="V6" s="2"/>
      <c r="W6" s="35"/>
      <c r="X6" s="2">
        <f t="shared" si="2"/>
        <v>83.71</v>
      </c>
      <c r="Y6" s="2"/>
      <c r="Z6" s="2"/>
      <c r="AA6" s="2">
        <f t="shared" si="1"/>
        <v>40.89</v>
      </c>
      <c r="AB6" s="2"/>
    </row>
    <row r="7" ht="14.25" customHeight="1">
      <c r="A7" s="30">
        <v>45694.0</v>
      </c>
      <c r="B7" s="3">
        <v>180.4</v>
      </c>
      <c r="C7" s="3" t="s">
        <v>190</v>
      </c>
      <c r="D7" s="3">
        <v>5.0</v>
      </c>
      <c r="E7" s="3">
        <v>68.0</v>
      </c>
      <c r="F7" s="2"/>
      <c r="G7" s="3">
        <v>17.0</v>
      </c>
      <c r="H7" s="3">
        <v>22.35</v>
      </c>
      <c r="I7" s="2"/>
      <c r="J7" s="3">
        <v>0.98</v>
      </c>
      <c r="K7" s="2"/>
      <c r="L7" s="2">
        <f>1+1.5</f>
        <v>2.5</v>
      </c>
      <c r="M7" s="2"/>
      <c r="N7" s="2"/>
      <c r="O7" s="2"/>
      <c r="P7" s="2"/>
      <c r="Q7" s="2"/>
      <c r="R7" s="2"/>
      <c r="S7" s="2"/>
      <c r="T7" s="2"/>
      <c r="U7" s="2"/>
      <c r="V7" s="2"/>
      <c r="W7" s="35"/>
      <c r="X7" s="2">
        <f t="shared" si="2"/>
        <v>115.83</v>
      </c>
      <c r="Y7" s="2"/>
      <c r="Z7" s="2"/>
      <c r="AA7" s="2">
        <f t="shared" si="1"/>
        <v>64.57</v>
      </c>
      <c r="AB7" s="2"/>
    </row>
    <row r="8" ht="14.25" customHeight="1">
      <c r="A8" s="30">
        <v>45695.0</v>
      </c>
      <c r="B8" s="3">
        <v>0.0</v>
      </c>
      <c r="C8" s="3" t="s">
        <v>191</v>
      </c>
      <c r="D8" s="2"/>
      <c r="E8" s="2"/>
      <c r="F8" s="3"/>
      <c r="G8" s="3">
        <v>33.9</v>
      </c>
      <c r="H8" s="2"/>
      <c r="I8" s="2"/>
      <c r="J8" s="3">
        <v>26.98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35"/>
      <c r="X8" s="2">
        <f t="shared" si="2"/>
        <v>60.88</v>
      </c>
      <c r="Y8" s="2"/>
      <c r="Z8" s="2"/>
      <c r="AA8" s="2">
        <f t="shared" si="1"/>
        <v>-60.88</v>
      </c>
      <c r="AB8" s="2"/>
    </row>
    <row r="9" ht="14.25" customHeight="1">
      <c r="A9" s="30">
        <v>45696.0</v>
      </c>
      <c r="B9" s="3">
        <v>12.8</v>
      </c>
      <c r="C9" s="3" t="s">
        <v>185</v>
      </c>
      <c r="D9" s="2"/>
      <c r="E9" s="2"/>
      <c r="F9" s="2"/>
      <c r="G9" s="3"/>
      <c r="H9" s="2"/>
      <c r="I9" s="2"/>
      <c r="J9" s="2"/>
      <c r="K9" s="2"/>
      <c r="L9" s="2">
        <f>9.3+13.2</f>
        <v>22.5</v>
      </c>
      <c r="M9" s="2"/>
      <c r="N9" s="2"/>
      <c r="O9" s="2"/>
      <c r="P9" s="2"/>
      <c r="Q9" s="2"/>
      <c r="R9" s="2"/>
      <c r="S9" s="2"/>
      <c r="T9" s="2"/>
      <c r="U9" s="2"/>
      <c r="V9" s="2"/>
      <c r="W9" s="35"/>
      <c r="X9" s="2">
        <f t="shared" si="2"/>
        <v>22.5</v>
      </c>
      <c r="Y9" s="2"/>
      <c r="Z9" s="2"/>
      <c r="AA9" s="2">
        <f t="shared" si="1"/>
        <v>-9.7</v>
      </c>
      <c r="AB9" s="2"/>
    </row>
    <row r="10" ht="14.25" customHeight="1">
      <c r="A10" s="31">
        <v>45697.0</v>
      </c>
      <c r="B10" s="32">
        <v>0.0</v>
      </c>
      <c r="C10" s="32" t="s">
        <v>186</v>
      </c>
      <c r="D10" s="32">
        <v>5.0</v>
      </c>
      <c r="E10" s="32">
        <v>50.0</v>
      </c>
      <c r="F10" s="33"/>
      <c r="G10" s="32">
        <v>17.0</v>
      </c>
      <c r="H10" s="32">
        <f>6+6</f>
        <v>12</v>
      </c>
      <c r="I10" s="33"/>
      <c r="J10" s="32">
        <v>24.6</v>
      </c>
      <c r="K10" s="33"/>
      <c r="L10" s="32">
        <f>5+6.3</f>
        <v>11.3</v>
      </c>
      <c r="M10" s="33"/>
      <c r="N10" s="33"/>
      <c r="O10" s="33"/>
      <c r="P10" s="32">
        <v>1.0</v>
      </c>
      <c r="Q10" s="33"/>
      <c r="R10" s="32">
        <v>11.0</v>
      </c>
      <c r="S10" s="33"/>
      <c r="T10" s="33"/>
      <c r="U10" s="33"/>
      <c r="V10" s="33"/>
      <c r="W10" s="34"/>
      <c r="X10" s="33">
        <f t="shared" si="2"/>
        <v>131.9</v>
      </c>
      <c r="Y10" s="33">
        <f>sum(B4:B10)</f>
        <v>826</v>
      </c>
      <c r="Z10" s="33">
        <f>sum(D4:U10)</f>
        <v>563.52</v>
      </c>
      <c r="AA10" s="33">
        <f t="shared" si="1"/>
        <v>-131.9</v>
      </c>
      <c r="AB10" s="33">
        <f>Y10-Z10</f>
        <v>262.48</v>
      </c>
    </row>
    <row r="11" ht="14.25" customHeight="1">
      <c r="A11" s="30">
        <v>45698.0</v>
      </c>
      <c r="B11" s="3">
        <v>550.7</v>
      </c>
      <c r="C11" s="3" t="s">
        <v>187</v>
      </c>
      <c r="D11" s="3">
        <v>7.0</v>
      </c>
      <c r="E11" s="3">
        <v>60.0</v>
      </c>
      <c r="F11" s="2"/>
      <c r="G11" s="3">
        <v>13.7</v>
      </c>
      <c r="H11" s="2"/>
      <c r="I11" s="2"/>
      <c r="J11" s="3">
        <v>2.0</v>
      </c>
      <c r="K11" s="2"/>
      <c r="L11" s="3">
        <v>5.5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35"/>
      <c r="X11" s="2">
        <f t="shared" si="2"/>
        <v>88.2</v>
      </c>
      <c r="Y11" s="2"/>
      <c r="Z11" s="2"/>
      <c r="AA11" s="2">
        <f t="shared" si="1"/>
        <v>462.5</v>
      </c>
      <c r="AB11" s="2"/>
    </row>
    <row r="12" ht="14.25" customHeight="1">
      <c r="A12" s="30">
        <v>45699.0</v>
      </c>
      <c r="B12" s="3">
        <v>162.4</v>
      </c>
      <c r="C12" s="3" t="s">
        <v>188</v>
      </c>
      <c r="D12" s="3">
        <v>7.0</v>
      </c>
      <c r="E12" s="3">
        <v>50.0</v>
      </c>
      <c r="F12" s="2"/>
      <c r="G12" s="3">
        <v>13.5</v>
      </c>
      <c r="H12" s="2"/>
      <c r="I12" s="2"/>
      <c r="J12" s="3">
        <v>3.5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35"/>
      <c r="X12" s="2">
        <f t="shared" si="2"/>
        <v>74</v>
      </c>
      <c r="Y12" s="2"/>
      <c r="Z12" s="2"/>
      <c r="AA12" s="2">
        <f t="shared" si="1"/>
        <v>88.4</v>
      </c>
      <c r="AB12" s="2"/>
    </row>
    <row r="13" ht="14.25" customHeight="1">
      <c r="A13" s="30">
        <v>45700.0</v>
      </c>
      <c r="B13" s="3">
        <v>292.4</v>
      </c>
      <c r="C13" s="3" t="s">
        <v>189</v>
      </c>
      <c r="D13" s="3">
        <v>7.0</v>
      </c>
      <c r="E13" s="3">
        <v>60.0</v>
      </c>
      <c r="F13" s="2"/>
      <c r="G13" s="3">
        <v>2.0</v>
      </c>
      <c r="H13" s="3">
        <v>9.5</v>
      </c>
      <c r="I13" s="2"/>
      <c r="J13" s="2"/>
      <c r="K13" s="2"/>
      <c r="L13" s="3">
        <v>21.9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35"/>
      <c r="X13" s="2">
        <f t="shared" si="2"/>
        <v>100.4</v>
      </c>
      <c r="Y13" s="2"/>
      <c r="Z13" s="2"/>
      <c r="AA13" s="2">
        <f t="shared" si="1"/>
        <v>192</v>
      </c>
      <c r="AB13" s="2"/>
    </row>
    <row r="14" ht="14.25" customHeight="1">
      <c r="A14" s="30">
        <v>45701.0</v>
      </c>
      <c r="B14" s="3">
        <v>392.1</v>
      </c>
      <c r="C14" s="3" t="s">
        <v>190</v>
      </c>
      <c r="D14" s="3">
        <v>7.0</v>
      </c>
      <c r="E14" s="3">
        <v>65.0</v>
      </c>
      <c r="F14" s="2"/>
      <c r="G14" s="3">
        <v>10.0</v>
      </c>
      <c r="H14" s="2"/>
      <c r="I14" s="2"/>
      <c r="J14" s="3">
        <v>3.12</v>
      </c>
      <c r="K14" s="3"/>
      <c r="L14" s="3">
        <f>3.2+4.2</f>
        <v>7.4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35"/>
      <c r="X14" s="2">
        <f t="shared" si="2"/>
        <v>92.52</v>
      </c>
      <c r="Y14" s="2"/>
      <c r="Z14" s="2"/>
      <c r="AA14" s="2">
        <f t="shared" si="1"/>
        <v>299.58</v>
      </c>
      <c r="AB14" s="2"/>
    </row>
    <row r="15" ht="14.25" customHeight="1">
      <c r="A15" s="30">
        <v>45702.0</v>
      </c>
      <c r="B15" s="3">
        <v>178.2</v>
      </c>
      <c r="C15" s="3" t="s">
        <v>191</v>
      </c>
      <c r="D15" s="3">
        <v>7.0</v>
      </c>
      <c r="E15" s="3">
        <v>60.0</v>
      </c>
      <c r="F15" s="2"/>
      <c r="G15" s="3">
        <v>11.5</v>
      </c>
      <c r="H15" s="3">
        <v>14.0</v>
      </c>
      <c r="I15" s="2"/>
      <c r="J15" s="3">
        <v>4.51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35"/>
      <c r="X15" s="2">
        <f t="shared" si="2"/>
        <v>97.01</v>
      </c>
      <c r="Y15" s="2"/>
      <c r="Z15" s="2"/>
      <c r="AA15" s="2">
        <f t="shared" si="1"/>
        <v>81.19</v>
      </c>
      <c r="AB15" s="2"/>
    </row>
    <row r="16" ht="14.25" customHeight="1">
      <c r="A16" s="30">
        <v>45703.0</v>
      </c>
      <c r="B16" s="3">
        <v>102.5</v>
      </c>
      <c r="C16" s="3" t="s">
        <v>185</v>
      </c>
      <c r="D16" s="3">
        <v>7.0</v>
      </c>
      <c r="E16" s="2"/>
      <c r="F16" s="3"/>
      <c r="G16" s="3">
        <v>17.0</v>
      </c>
      <c r="H16" s="3">
        <v>17.5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35"/>
      <c r="X16" s="2">
        <f t="shared" si="2"/>
        <v>41.5</v>
      </c>
      <c r="Y16" s="2"/>
      <c r="Z16" s="2"/>
      <c r="AA16" s="2">
        <f t="shared" si="1"/>
        <v>61</v>
      </c>
      <c r="AB16" s="2"/>
    </row>
    <row r="17" ht="14.25" customHeight="1">
      <c r="A17" s="31">
        <v>45704.0</v>
      </c>
      <c r="B17" s="32">
        <v>0.0</v>
      </c>
      <c r="C17" s="32" t="s">
        <v>186</v>
      </c>
      <c r="D17" s="33"/>
      <c r="E17" s="32">
        <v>55.0</v>
      </c>
      <c r="F17" s="33"/>
      <c r="G17" s="33"/>
      <c r="H17" s="33"/>
      <c r="I17" s="33"/>
      <c r="J17" s="33"/>
      <c r="K17" s="33"/>
      <c r="L17" s="33"/>
      <c r="M17" s="33"/>
      <c r="N17" s="33"/>
      <c r="O17" s="32">
        <v>49.0</v>
      </c>
      <c r="P17" s="33"/>
      <c r="Q17" s="33"/>
      <c r="R17" s="33"/>
      <c r="S17" s="33"/>
      <c r="T17" s="33"/>
      <c r="U17" s="33"/>
      <c r="V17" s="33"/>
      <c r="W17" s="34"/>
      <c r="X17" s="33">
        <f t="shared" si="2"/>
        <v>104</v>
      </c>
      <c r="Y17" s="33">
        <f>sum(B11:B17)</f>
        <v>1678.3</v>
      </c>
      <c r="Z17" s="33">
        <f>sum(D11:U17)</f>
        <v>597.63</v>
      </c>
      <c r="AA17" s="33">
        <f t="shared" si="1"/>
        <v>-104</v>
      </c>
      <c r="AB17" s="33">
        <f>Y17-Z17</f>
        <v>1080.67</v>
      </c>
    </row>
    <row r="18" ht="14.25" customHeight="1">
      <c r="A18" s="30">
        <v>45705.0</v>
      </c>
      <c r="B18" s="3">
        <v>423.1</v>
      </c>
      <c r="C18" s="3" t="s">
        <v>187</v>
      </c>
      <c r="D18" s="3">
        <v>7.0</v>
      </c>
      <c r="E18" s="3">
        <v>60.0</v>
      </c>
      <c r="F18" s="2"/>
      <c r="G18" s="3">
        <v>11.7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35"/>
      <c r="X18" s="2">
        <f t="shared" si="2"/>
        <v>78.7</v>
      </c>
      <c r="Y18" s="2"/>
      <c r="Z18" s="2"/>
      <c r="AA18" s="2">
        <f t="shared" si="1"/>
        <v>344.4</v>
      </c>
      <c r="AB18" s="2"/>
    </row>
    <row r="19" ht="14.25" customHeight="1">
      <c r="A19" s="30">
        <v>45706.0</v>
      </c>
      <c r="B19" s="3">
        <v>371.2</v>
      </c>
      <c r="C19" s="3" t="s">
        <v>188</v>
      </c>
      <c r="D19" s="3">
        <v>7.0</v>
      </c>
      <c r="E19" s="3">
        <v>60.0</v>
      </c>
      <c r="F19" s="2"/>
      <c r="G19" s="3">
        <v>11.5</v>
      </c>
      <c r="H19" s="2"/>
      <c r="I19" s="2"/>
      <c r="J19" s="3">
        <v>4.43</v>
      </c>
      <c r="K19" s="2"/>
      <c r="L19" s="3">
        <v>7.1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35"/>
      <c r="X19" s="2">
        <f t="shared" si="2"/>
        <v>90.03</v>
      </c>
      <c r="Y19" s="2"/>
      <c r="Z19" s="2"/>
      <c r="AA19" s="2">
        <f t="shared" si="1"/>
        <v>281.17</v>
      </c>
      <c r="AB19" s="2"/>
    </row>
    <row r="20" ht="14.25" customHeight="1">
      <c r="A20" s="30">
        <v>45707.0</v>
      </c>
      <c r="B20" s="3">
        <v>309.6</v>
      </c>
      <c r="C20" s="3" t="s">
        <v>189</v>
      </c>
      <c r="D20" s="3">
        <v>7.0</v>
      </c>
      <c r="E20" s="3">
        <v>60.0</v>
      </c>
      <c r="F20" s="2"/>
      <c r="G20" s="3">
        <v>9.0</v>
      </c>
      <c r="H20" s="2"/>
      <c r="I20" s="2"/>
      <c r="J20" s="2"/>
      <c r="K20" s="2"/>
      <c r="L20" s="3">
        <v>10.0</v>
      </c>
      <c r="M20" s="2"/>
      <c r="N20" s="2"/>
      <c r="O20" s="2"/>
      <c r="P20" s="3">
        <v>1.0</v>
      </c>
      <c r="Q20" s="2"/>
      <c r="R20" s="2"/>
      <c r="S20" s="2"/>
      <c r="T20" s="2"/>
      <c r="U20" s="2"/>
      <c r="V20" s="2"/>
      <c r="W20" s="35"/>
      <c r="X20" s="2">
        <f t="shared" si="2"/>
        <v>87</v>
      </c>
      <c r="Y20" s="2"/>
      <c r="Z20" s="2"/>
      <c r="AA20" s="2">
        <f t="shared" si="1"/>
        <v>222.6</v>
      </c>
      <c r="AB20" s="2"/>
    </row>
    <row r="21" ht="14.25" customHeight="1">
      <c r="A21" s="30">
        <v>45708.0</v>
      </c>
      <c r="B21" s="3">
        <v>110.4</v>
      </c>
      <c r="C21" s="3" t="s">
        <v>190</v>
      </c>
      <c r="D21" s="36">
        <v>7.0</v>
      </c>
      <c r="E21" s="3">
        <v>60.0</v>
      </c>
      <c r="F21" s="2"/>
      <c r="G21" s="3">
        <v>14.5</v>
      </c>
      <c r="H21" s="3">
        <v>13.0</v>
      </c>
      <c r="I21" s="2"/>
      <c r="J21" s="3">
        <f>3.5+1.27</f>
        <v>4.77</v>
      </c>
      <c r="K21" s="2"/>
      <c r="L21" s="3">
        <v>7.2</v>
      </c>
      <c r="M21" s="2"/>
      <c r="N21" s="3"/>
      <c r="O21" s="2"/>
      <c r="P21" s="2"/>
      <c r="Q21" s="2"/>
      <c r="R21" s="2"/>
      <c r="S21" s="2"/>
      <c r="T21" s="2"/>
      <c r="U21" s="2"/>
      <c r="V21" s="2"/>
      <c r="W21" s="35"/>
      <c r="X21" s="2">
        <f t="shared" si="2"/>
        <v>106.47</v>
      </c>
      <c r="Y21" s="2"/>
      <c r="Z21" s="2"/>
      <c r="AA21" s="2">
        <f t="shared" si="1"/>
        <v>3.93</v>
      </c>
      <c r="AB21" s="2"/>
    </row>
    <row r="22" ht="14.25" customHeight="1">
      <c r="A22" s="30">
        <v>45709.0</v>
      </c>
      <c r="B22" s="3">
        <v>270.4</v>
      </c>
      <c r="C22" s="3" t="s">
        <v>191</v>
      </c>
      <c r="D22" s="3">
        <v>7.0</v>
      </c>
      <c r="E22" s="3">
        <v>60.0</v>
      </c>
      <c r="F22" s="2"/>
      <c r="G22" s="3">
        <v>5.7</v>
      </c>
      <c r="H22" s="3">
        <v>12.0</v>
      </c>
      <c r="I22" s="2"/>
      <c r="J22" s="2"/>
      <c r="K22" s="2"/>
      <c r="L22" s="2"/>
      <c r="M22" s="2"/>
      <c r="N22" s="2"/>
      <c r="O22" s="3">
        <v>3.2</v>
      </c>
      <c r="P22" s="3">
        <v>5.0</v>
      </c>
      <c r="Q22" s="2"/>
      <c r="R22" s="2"/>
      <c r="S22" s="2"/>
      <c r="T22" s="2"/>
      <c r="U22" s="2"/>
      <c r="V22" s="2"/>
      <c r="W22" s="35"/>
      <c r="X22" s="2">
        <f t="shared" si="2"/>
        <v>92.9</v>
      </c>
      <c r="Y22" s="2"/>
      <c r="Z22" s="2"/>
      <c r="AA22" s="2">
        <f t="shared" si="1"/>
        <v>177.5</v>
      </c>
      <c r="AB22" s="2"/>
    </row>
    <row r="23" ht="14.25" customHeight="1">
      <c r="A23" s="30">
        <v>45710.0</v>
      </c>
      <c r="B23" s="3">
        <v>479.4</v>
      </c>
      <c r="C23" s="3" t="s">
        <v>185</v>
      </c>
      <c r="D23" s="3">
        <v>7.0</v>
      </c>
      <c r="E23" s="3">
        <v>60.0</v>
      </c>
      <c r="F23" s="2"/>
      <c r="G23" s="3">
        <v>8.3</v>
      </c>
      <c r="H23" s="2"/>
      <c r="I23" s="2"/>
      <c r="J23" s="3">
        <v>9.0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35"/>
      <c r="X23" s="2">
        <f t="shared" si="2"/>
        <v>84.3</v>
      </c>
      <c r="Y23" s="2"/>
      <c r="Z23" s="2"/>
      <c r="AA23" s="2">
        <f t="shared" si="1"/>
        <v>395.1</v>
      </c>
      <c r="AB23" s="2"/>
    </row>
    <row r="24" ht="14.25" customHeight="1">
      <c r="A24" s="31">
        <v>45711.0</v>
      </c>
      <c r="B24" s="32">
        <v>105.9</v>
      </c>
      <c r="C24" s="32" t="s">
        <v>186</v>
      </c>
      <c r="D24" s="32">
        <v>7.0</v>
      </c>
      <c r="E24" s="32">
        <v>60.0</v>
      </c>
      <c r="F24" s="33"/>
      <c r="G24" s="32">
        <v>13.0</v>
      </c>
      <c r="H24" s="32">
        <v>10.3</v>
      </c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4"/>
      <c r="X24" s="33">
        <f t="shared" si="2"/>
        <v>90.3</v>
      </c>
      <c r="Y24" s="33">
        <f>sum(B18:B24)</f>
        <v>2070</v>
      </c>
      <c r="Z24" s="33">
        <f>sum(D18:U24)</f>
        <v>629.7</v>
      </c>
      <c r="AA24" s="33">
        <f t="shared" si="1"/>
        <v>15.6</v>
      </c>
      <c r="AB24" s="33">
        <f>Y24-Z24</f>
        <v>1440.3</v>
      </c>
    </row>
    <row r="25" ht="14.25" customHeight="1">
      <c r="A25" s="30">
        <v>45712.0</v>
      </c>
      <c r="B25" s="3">
        <v>110.4</v>
      </c>
      <c r="C25" s="3" t="s">
        <v>187</v>
      </c>
      <c r="D25" s="3">
        <v>7.0</v>
      </c>
      <c r="E25" s="2"/>
      <c r="F25" s="2"/>
      <c r="G25" s="3">
        <v>10.3</v>
      </c>
      <c r="H25" s="3">
        <v>4.5</v>
      </c>
      <c r="I25" s="2"/>
      <c r="J25" s="2"/>
      <c r="K25" s="2"/>
      <c r="L25" s="2"/>
      <c r="M25" s="2"/>
      <c r="N25" s="2"/>
      <c r="O25" s="2"/>
      <c r="P25" s="2"/>
      <c r="Q25" s="3">
        <v>30.0</v>
      </c>
      <c r="R25" s="2"/>
      <c r="S25" s="2"/>
      <c r="T25" s="2"/>
      <c r="U25" s="2"/>
      <c r="V25" s="2"/>
      <c r="W25" s="35"/>
      <c r="X25" s="2">
        <f t="shared" si="2"/>
        <v>51.8</v>
      </c>
      <c r="Y25" s="2"/>
      <c r="Z25" s="2"/>
      <c r="AA25" s="2">
        <f t="shared" si="1"/>
        <v>58.6</v>
      </c>
      <c r="AB25" s="2"/>
    </row>
    <row r="26" ht="14.25" customHeight="1">
      <c r="A26" s="30">
        <v>45713.0</v>
      </c>
      <c r="B26" s="3"/>
      <c r="C26" s="3" t="s">
        <v>188</v>
      </c>
      <c r="D26" s="2"/>
      <c r="E26" s="3">
        <v>60.0</v>
      </c>
      <c r="F26" s="2"/>
      <c r="G26" s="3">
        <v>14.0</v>
      </c>
      <c r="H26" s="2"/>
      <c r="I26" s="2">
        <f>220+220</f>
        <v>440</v>
      </c>
      <c r="J26" s="3">
        <v>5.5</v>
      </c>
      <c r="K26" s="2"/>
      <c r="L26" s="3">
        <v>7.1</v>
      </c>
      <c r="M26" s="2"/>
      <c r="N26" s="2"/>
      <c r="O26" s="2"/>
      <c r="P26" s="2"/>
      <c r="Q26" s="2"/>
      <c r="R26" s="2"/>
      <c r="S26" s="3"/>
      <c r="T26" s="2"/>
      <c r="U26" s="2"/>
      <c r="V26" s="3">
        <v>15.0</v>
      </c>
      <c r="W26" s="29" t="s">
        <v>60</v>
      </c>
      <c r="X26" s="2">
        <f t="shared" si="2"/>
        <v>526.6</v>
      </c>
      <c r="Y26" s="2"/>
      <c r="Z26" s="2"/>
      <c r="AA26" s="2">
        <f t="shared" si="1"/>
        <v>-526.6</v>
      </c>
      <c r="AB26" s="2"/>
    </row>
    <row r="27" ht="14.25" customHeight="1">
      <c r="A27" s="30">
        <v>45714.0</v>
      </c>
      <c r="B27" s="2"/>
      <c r="C27" s="3" t="s">
        <v>189</v>
      </c>
      <c r="D27" s="2"/>
      <c r="E27" s="2"/>
      <c r="F27" s="2"/>
      <c r="G27" s="2">
        <f>6.5+8</f>
        <v>14.5</v>
      </c>
      <c r="H27" s="2"/>
      <c r="I27" s="2"/>
      <c r="J27" s="3">
        <v>26.98</v>
      </c>
      <c r="K27" s="2"/>
      <c r="L27" s="2"/>
      <c r="M27" s="3">
        <v>70.19</v>
      </c>
      <c r="N27" s="2"/>
      <c r="O27" s="2"/>
      <c r="P27" s="2"/>
      <c r="Q27" s="2"/>
      <c r="R27" s="2"/>
      <c r="S27" s="2"/>
      <c r="T27" s="2"/>
      <c r="U27" s="2"/>
      <c r="V27" s="2"/>
      <c r="W27" s="29" t="s">
        <v>61</v>
      </c>
      <c r="X27" s="2">
        <f t="shared" si="2"/>
        <v>111.67</v>
      </c>
      <c r="Y27" s="2"/>
      <c r="Z27" s="2"/>
      <c r="AA27" s="2">
        <f t="shared" si="1"/>
        <v>-111.67</v>
      </c>
      <c r="AB27" s="2"/>
    </row>
    <row r="28" ht="14.25" customHeight="1">
      <c r="A28" s="30">
        <v>45715.0</v>
      </c>
      <c r="B28" s="3"/>
      <c r="C28" s="3" t="s">
        <v>190</v>
      </c>
      <c r="D28" s="2"/>
      <c r="E28" s="3">
        <v>60.0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3">
        <v>8.56</v>
      </c>
      <c r="U28" s="2"/>
      <c r="V28" s="2"/>
      <c r="W28" s="35"/>
      <c r="X28" s="2">
        <f t="shared" si="2"/>
        <v>68.56</v>
      </c>
      <c r="Y28" s="2"/>
      <c r="Z28" s="2"/>
      <c r="AA28" s="2">
        <f t="shared" si="1"/>
        <v>-68.56</v>
      </c>
      <c r="AB28" s="2"/>
    </row>
    <row r="29" ht="14.25" customHeight="1">
      <c r="A29" s="30">
        <v>45716.0</v>
      </c>
      <c r="B29" s="3"/>
      <c r="C29" s="3" t="s">
        <v>191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3">
        <v>200.0</v>
      </c>
      <c r="V29" s="2"/>
      <c r="W29" s="35"/>
      <c r="X29" s="2">
        <f t="shared" si="2"/>
        <v>200</v>
      </c>
      <c r="Y29" s="2"/>
      <c r="Z29" s="2"/>
      <c r="AA29" s="2">
        <f t="shared" si="1"/>
        <v>-200</v>
      </c>
      <c r="AB29" s="2"/>
    </row>
    <row r="30" ht="14.25" customHeight="1">
      <c r="A30" s="38"/>
      <c r="B30" s="2"/>
      <c r="C30" s="3" t="s">
        <v>185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35"/>
      <c r="X30" s="2">
        <f t="shared" si="2"/>
        <v>0</v>
      </c>
      <c r="Y30" s="2"/>
      <c r="Z30" s="2"/>
      <c r="AA30" s="2">
        <f t="shared" si="1"/>
        <v>0</v>
      </c>
      <c r="AB30" s="2"/>
    </row>
    <row r="31" ht="14.25" customHeight="1">
      <c r="A31" s="33"/>
      <c r="B31" s="33"/>
      <c r="C31" s="32" t="s">
        <v>186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4"/>
      <c r="X31" s="33">
        <f t="shared" si="2"/>
        <v>0</v>
      </c>
      <c r="Y31" s="33">
        <f>sum(B25:B31)</f>
        <v>110.4</v>
      </c>
      <c r="Z31" s="33">
        <f>sum(D25:U31)</f>
        <v>958.63</v>
      </c>
      <c r="AA31" s="33">
        <f t="shared" si="1"/>
        <v>0</v>
      </c>
      <c r="AB31" s="33">
        <f>Y31-Z31</f>
        <v>-848.23</v>
      </c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35"/>
      <c r="X32" s="2">
        <f>Y32-Z32</f>
        <v>0</v>
      </c>
      <c r="Y32" s="2">
        <f>sum(B32)</f>
        <v>0</v>
      </c>
      <c r="Z32" s="2">
        <f>sum(D32:U32)</f>
        <v>0</v>
      </c>
      <c r="AA32" s="2">
        <f t="shared" si="1"/>
        <v>0</v>
      </c>
      <c r="AB32" s="2"/>
    </row>
    <row r="33" ht="14.25" customHeight="1">
      <c r="A33" s="2"/>
      <c r="B33" s="26">
        <f>SUM(B2:B32)</f>
        <v>5001.5</v>
      </c>
      <c r="C33" s="2"/>
      <c r="D33" s="2">
        <f t="shared" ref="D33:V33" si="3">SUM(D2:D32)</f>
        <v>128</v>
      </c>
      <c r="E33" s="2">
        <f t="shared" si="3"/>
        <v>1188</v>
      </c>
      <c r="F33" s="2">
        <f t="shared" si="3"/>
        <v>0</v>
      </c>
      <c r="G33" s="2">
        <f t="shared" si="3"/>
        <v>312.1</v>
      </c>
      <c r="H33" s="2">
        <f t="shared" si="3"/>
        <v>125.95</v>
      </c>
      <c r="I33" s="2">
        <f t="shared" si="3"/>
        <v>440</v>
      </c>
      <c r="J33" s="2">
        <f t="shared" si="3"/>
        <v>124.08</v>
      </c>
      <c r="K33" s="2">
        <f t="shared" si="3"/>
        <v>0</v>
      </c>
      <c r="L33" s="2">
        <f t="shared" si="3"/>
        <v>146.7</v>
      </c>
      <c r="M33" s="2">
        <f t="shared" si="3"/>
        <v>70.19</v>
      </c>
      <c r="N33" s="2">
        <f t="shared" si="3"/>
        <v>0</v>
      </c>
      <c r="O33" s="2">
        <f t="shared" si="3"/>
        <v>52.2</v>
      </c>
      <c r="P33" s="2">
        <f t="shared" si="3"/>
        <v>20</v>
      </c>
      <c r="Q33" s="2">
        <f t="shared" si="3"/>
        <v>70</v>
      </c>
      <c r="R33" s="2">
        <f t="shared" si="3"/>
        <v>11</v>
      </c>
      <c r="S33" s="2">
        <f t="shared" si="3"/>
        <v>350</v>
      </c>
      <c r="T33" s="2">
        <f t="shared" si="3"/>
        <v>8.56</v>
      </c>
      <c r="U33" s="2">
        <f t="shared" si="3"/>
        <v>200</v>
      </c>
      <c r="V33" s="2">
        <f t="shared" si="3"/>
        <v>15</v>
      </c>
      <c r="W33" s="35"/>
      <c r="X33" s="2">
        <f>SUM(X2:X32)</f>
        <v>3246.78</v>
      </c>
      <c r="Y33" s="2"/>
      <c r="Z33" s="2"/>
      <c r="AA33" s="2"/>
      <c r="AB33" s="2"/>
    </row>
    <row r="34" ht="14.25" customHeight="1">
      <c r="A34" s="39" t="s">
        <v>62</v>
      </c>
      <c r="B34" s="40">
        <f>B33-(D33+E33+F33+G33+H33+I33+J33+K33+L33+M33+N33+O33+P33+Q33+R33+S33+T33+U33+V33)</f>
        <v>1739.72</v>
      </c>
      <c r="C34" s="41"/>
      <c r="D34" s="41"/>
      <c r="E34" s="41"/>
      <c r="F34" s="41"/>
      <c r="G34" s="2">
        <f>H33+G33</f>
        <v>438.05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9" t="s">
        <v>63</v>
      </c>
      <c r="X34" s="29"/>
      <c r="Y34" s="29"/>
      <c r="Z34" s="29"/>
      <c r="AA34" s="29"/>
      <c r="AB34" s="42">
        <f>B34/B33*100</f>
        <v>34.78396481</v>
      </c>
    </row>
  </sheetData>
  <mergeCells count="3">
    <mergeCell ref="E1:F1"/>
    <mergeCell ref="G1:H1"/>
    <mergeCell ref="G34:H34"/>
  </mergeCells>
  <conditionalFormatting sqref="A1:AB34">
    <cfRule type="expression" dxfId="13" priority="1">
      <formula>C1="sun"</formula>
    </cfRule>
  </conditionalFormatting>
  <conditionalFormatting sqref="B2:B31">
    <cfRule type="cellIs" dxfId="14" priority="2" operator="lessThan">
      <formula>299.99</formula>
    </cfRule>
  </conditionalFormatting>
  <conditionalFormatting sqref="B2:B31">
    <cfRule type="cellIs" dxfId="12" priority="3" operator="between">
      <formula>400</formula>
      <formula>499.99</formula>
    </cfRule>
  </conditionalFormatting>
  <conditionalFormatting sqref="B2:B31">
    <cfRule type="cellIs" dxfId="15" priority="4" operator="between">
      <formula>300</formula>
      <formula>399.99</formula>
    </cfRule>
  </conditionalFormatting>
  <conditionalFormatting sqref="B2:B31">
    <cfRule type="cellIs" dxfId="16" priority="5" operator="greaterThan">
      <formula>500</formula>
    </cfRule>
  </conditionalFormatting>
  <conditionalFormatting sqref="AA1:AA31">
    <cfRule type="cellIs" dxfId="17" priority="6" operator="lessThan">
      <formula>0</formula>
    </cfRule>
  </conditionalFormatting>
  <drawing r:id="rId1"/>
</worksheet>
</file>